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d.docs.live.net/714053b45501a754/Documents/Microsoft Excel/inventory managment and sels dashboard Project/"/>
    </mc:Choice>
  </mc:AlternateContent>
  <xr:revisionPtr revIDLastSave="4" documentId="13_ncr:1_{1B873DA8-0C5C-42CE-9AFA-38DAEEED9C61}" xr6:coauthVersionLast="47" xr6:coauthVersionMax="47" xr10:uidLastSave="{2EF44007-0128-4ED7-B8E0-A115A5A0A8DB}"/>
  <bookViews>
    <workbookView xWindow="-108" yWindow="-108" windowWidth="23256" windowHeight="12456" firstSheet="8" activeTab="11" xr2:uid="{8FA32A29-CE26-4898-B57D-D42089134D70}"/>
  </bookViews>
  <sheets>
    <sheet name="Cars inventory " sheetId="1" r:id="rId1"/>
    <sheet name="Status wise car" sheetId="19" r:id="rId2"/>
    <sheet name="Brand VS Status" sheetId="20" r:id="rId3"/>
    <sheet name="Quantity in stock" sheetId="21" r:id="rId4"/>
    <sheet name="Brand wise sold cars" sheetId="22" r:id="rId5"/>
    <sheet name="Model wise sale" sheetId="23" r:id="rId6"/>
    <sheet name="Year wise sale" sheetId="24" r:id="rId7"/>
    <sheet name="Transmission VS Status Avabile" sheetId="25" r:id="rId8"/>
    <sheet name="Engine type VS Stutus" sheetId="27" r:id="rId9"/>
    <sheet name="Price wise analysis" sheetId="28" r:id="rId10"/>
    <sheet name="Colour in brand" sheetId="35" r:id="rId11"/>
    <sheet name="DASHBOARD" sheetId="30" r:id="rId12"/>
  </sheets>
  <definedNames>
    <definedName name="_xlnm._FilterDatabase" localSheetId="0" hidden="1">'Cars inventory '!$A$1:$L$502</definedName>
    <definedName name="Slicer_Brand">#N/A</definedName>
    <definedName name="Slicer_Colour">#N/A</definedName>
    <definedName name="Slicer_Engine_Type">#N/A</definedName>
    <definedName name="Slicer_Status">#N/A</definedName>
    <definedName name="Slicer_Yea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66" i="1" l="1"/>
  <c r="K457" i="1"/>
  <c r="K430" i="1"/>
  <c r="K416" i="1"/>
  <c r="K396" i="1"/>
  <c r="K359" i="1"/>
  <c r="K308" i="1"/>
  <c r="K289" i="1"/>
  <c r="K283" i="1"/>
  <c r="K269" i="1"/>
  <c r="K268" i="1"/>
  <c r="K261" i="1"/>
  <c r="K260" i="1"/>
  <c r="K257" i="1"/>
  <c r="K244" i="1"/>
  <c r="K242" i="1"/>
  <c r="K230" i="1"/>
  <c r="K224" i="1"/>
  <c r="K222" i="1"/>
  <c r="K205" i="1"/>
  <c r="K117" i="1"/>
  <c r="K110" i="1"/>
  <c r="K100" i="1"/>
  <c r="K89" i="1"/>
  <c r="K46" i="1"/>
  <c r="K31" i="1"/>
  <c r="K1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184"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2" i="1"/>
  <c r="K3" i="1"/>
  <c r="K4" i="1"/>
  <c r="K5" i="1"/>
  <c r="K6" i="1"/>
  <c r="K7" i="1"/>
  <c r="K8" i="1"/>
  <c r="K9" i="1"/>
  <c r="K10" i="1"/>
  <c r="K12" i="1"/>
  <c r="K13" i="1"/>
  <c r="K14" i="1"/>
  <c r="K15" i="1"/>
  <c r="K16" i="1"/>
  <c r="K17" i="1"/>
  <c r="K18" i="1"/>
  <c r="K19" i="1"/>
  <c r="K20" i="1"/>
  <c r="K21" i="1"/>
  <c r="K22" i="1"/>
  <c r="K23" i="1"/>
  <c r="K24" i="1"/>
  <c r="K25" i="1"/>
  <c r="K26" i="1"/>
  <c r="K27" i="1"/>
  <c r="K28" i="1"/>
  <c r="K29" i="1"/>
  <c r="K30" i="1"/>
  <c r="K32" i="1"/>
  <c r="K33" i="1"/>
  <c r="K34" i="1"/>
  <c r="K35" i="1"/>
  <c r="K36" i="1"/>
  <c r="K37" i="1"/>
  <c r="K38" i="1"/>
  <c r="K39" i="1"/>
  <c r="K40" i="1"/>
  <c r="K41" i="1"/>
  <c r="K42" i="1"/>
  <c r="K43" i="1"/>
  <c r="K44" i="1"/>
  <c r="K45"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90" i="1"/>
  <c r="K91" i="1"/>
  <c r="K92" i="1"/>
  <c r="K93" i="1"/>
  <c r="K94" i="1"/>
  <c r="K95" i="1"/>
  <c r="K96" i="1"/>
  <c r="K97" i="1"/>
  <c r="K98" i="1"/>
  <c r="K99" i="1"/>
  <c r="K101" i="1"/>
  <c r="K102" i="1"/>
  <c r="K103" i="1"/>
  <c r="K104" i="1"/>
  <c r="K105" i="1"/>
  <c r="K106" i="1"/>
  <c r="K107" i="1"/>
  <c r="K108" i="1"/>
  <c r="K109" i="1"/>
  <c r="K111" i="1"/>
  <c r="K112" i="1"/>
  <c r="K113" i="1"/>
  <c r="K114" i="1"/>
  <c r="K115" i="1"/>
  <c r="K116"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5" i="1"/>
  <c r="K186" i="1"/>
  <c r="K187" i="1"/>
  <c r="K188" i="1"/>
  <c r="K189" i="1"/>
  <c r="K190" i="1"/>
  <c r="K191" i="1"/>
  <c r="K192" i="1"/>
  <c r="K193" i="1"/>
  <c r="K194" i="1"/>
  <c r="K195" i="1"/>
  <c r="K196" i="1"/>
  <c r="K197" i="1"/>
  <c r="K198" i="1"/>
  <c r="K199" i="1"/>
  <c r="K200" i="1"/>
  <c r="K201" i="1"/>
  <c r="K202" i="1"/>
  <c r="K203" i="1"/>
  <c r="K204" i="1"/>
  <c r="K206" i="1"/>
  <c r="K207" i="1"/>
  <c r="K208" i="1"/>
  <c r="K209" i="1"/>
  <c r="K210" i="1"/>
  <c r="K211" i="1"/>
  <c r="K212" i="1"/>
  <c r="K213" i="1"/>
  <c r="K214" i="1"/>
  <c r="K215" i="1"/>
  <c r="K216" i="1"/>
  <c r="K217" i="1"/>
  <c r="K218" i="1"/>
  <c r="K219" i="1"/>
  <c r="K220" i="1"/>
  <c r="K221" i="1"/>
  <c r="K223" i="1"/>
  <c r="K225" i="1"/>
  <c r="K226" i="1"/>
  <c r="K227" i="1"/>
  <c r="K228" i="1"/>
  <c r="K229" i="1"/>
  <c r="K231" i="1"/>
  <c r="K232" i="1"/>
  <c r="K233" i="1"/>
  <c r="K234" i="1"/>
  <c r="K235" i="1"/>
  <c r="K236" i="1"/>
  <c r="K237" i="1"/>
  <c r="K238" i="1"/>
  <c r="K239" i="1"/>
  <c r="K240" i="1"/>
  <c r="K241" i="1"/>
  <c r="K243" i="1"/>
  <c r="K245" i="1"/>
  <c r="K246" i="1"/>
  <c r="K247" i="1"/>
  <c r="K248" i="1"/>
  <c r="K249" i="1"/>
  <c r="K250" i="1"/>
  <c r="K251" i="1"/>
  <c r="K184" i="1"/>
  <c r="K252" i="1"/>
  <c r="K253" i="1"/>
  <c r="K254" i="1"/>
  <c r="K255" i="1"/>
  <c r="K256" i="1"/>
  <c r="K258" i="1"/>
  <c r="K259" i="1"/>
  <c r="K262" i="1"/>
  <c r="K263" i="1"/>
  <c r="K264" i="1"/>
  <c r="K265" i="1"/>
  <c r="K266" i="1"/>
  <c r="K267" i="1"/>
  <c r="K270" i="1"/>
  <c r="K271" i="1"/>
  <c r="K272" i="1"/>
  <c r="K273" i="1"/>
  <c r="K274" i="1"/>
  <c r="K275" i="1"/>
  <c r="K276" i="1"/>
  <c r="K277" i="1"/>
  <c r="K278" i="1"/>
  <c r="K279" i="1"/>
  <c r="K280" i="1"/>
  <c r="K281" i="1"/>
  <c r="K282" i="1"/>
  <c r="K284" i="1"/>
  <c r="K285" i="1"/>
  <c r="K286" i="1"/>
  <c r="K287" i="1"/>
  <c r="K288" i="1"/>
  <c r="K290" i="1"/>
  <c r="K291" i="1"/>
  <c r="K292" i="1"/>
  <c r="K293" i="1"/>
  <c r="K294" i="1"/>
  <c r="K295" i="1"/>
  <c r="K296" i="1"/>
  <c r="K297" i="1"/>
  <c r="K298" i="1"/>
  <c r="K299" i="1"/>
  <c r="K300" i="1"/>
  <c r="K301" i="1"/>
  <c r="K302" i="1"/>
  <c r="K303" i="1"/>
  <c r="K304" i="1"/>
  <c r="K305" i="1"/>
  <c r="K306" i="1"/>
  <c r="K307"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7" i="1"/>
  <c r="K398" i="1"/>
  <c r="K399" i="1"/>
  <c r="K400" i="1"/>
  <c r="K401" i="1"/>
  <c r="K402" i="1"/>
  <c r="K403" i="1"/>
  <c r="K404" i="1"/>
  <c r="K405" i="1"/>
  <c r="K406" i="1"/>
  <c r="K407" i="1"/>
  <c r="K408" i="1"/>
  <c r="K409" i="1"/>
  <c r="K410" i="1"/>
  <c r="K411" i="1"/>
  <c r="K412" i="1"/>
  <c r="K413" i="1"/>
  <c r="K414" i="1"/>
  <c r="K415" i="1"/>
  <c r="K417" i="1"/>
  <c r="K418" i="1"/>
  <c r="K419" i="1"/>
  <c r="K420" i="1"/>
  <c r="K421" i="1"/>
  <c r="K422" i="1"/>
  <c r="K423" i="1"/>
  <c r="K424" i="1"/>
  <c r="K425" i="1"/>
  <c r="K426" i="1"/>
  <c r="K427" i="1"/>
  <c r="K428" i="1"/>
  <c r="K429"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8" i="1"/>
  <c r="K459" i="1"/>
  <c r="K460" i="1"/>
  <c r="K461" i="1"/>
  <c r="K462" i="1"/>
  <c r="K463" i="1"/>
  <c r="K464" i="1"/>
  <c r="K465"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2" i="1"/>
  <c r="C18" i="30"/>
  <c r="H18" i="30"/>
  <c r="F18" i="30"/>
  <c r="D18" i="30"/>
  <c r="D20" i="30"/>
  <c r="G18" i="30"/>
</calcChain>
</file>

<file path=xl/sharedStrings.xml><?xml version="1.0" encoding="utf-8"?>
<sst xmlns="http://schemas.openxmlformats.org/spreadsheetml/2006/main" count="3637" uniqueCount="565">
  <si>
    <t>Car_ID</t>
  </si>
  <si>
    <t>Brand</t>
  </si>
  <si>
    <t>Model</t>
  </si>
  <si>
    <t>Year</t>
  </si>
  <si>
    <t>Engine_Type</t>
  </si>
  <si>
    <t>Transmission</t>
  </si>
  <si>
    <t>Price</t>
  </si>
  <si>
    <t>Quantity_In_Stock</t>
  </si>
  <si>
    <t>Status</t>
  </si>
  <si>
    <t>C0001</t>
  </si>
  <si>
    <t>Toyota</t>
  </si>
  <si>
    <t>Camry</t>
  </si>
  <si>
    <t>Red</t>
  </si>
  <si>
    <t>Petrol</t>
  </si>
  <si>
    <t>Automatic</t>
  </si>
  <si>
    <t>Available</t>
  </si>
  <si>
    <t>C0002</t>
  </si>
  <si>
    <t>Tesla</t>
  </si>
  <si>
    <t>Model 3</t>
  </si>
  <si>
    <t>Electric</t>
  </si>
  <si>
    <t>Manual</t>
  </si>
  <si>
    <t>C0003</t>
  </si>
  <si>
    <t>Nissan</t>
  </si>
  <si>
    <t>Qashqai</t>
  </si>
  <si>
    <t>Blue</t>
  </si>
  <si>
    <t>C0004</t>
  </si>
  <si>
    <t>Hyundai</t>
  </si>
  <si>
    <t>Sonata</t>
  </si>
  <si>
    <t>Hybrid</t>
  </si>
  <si>
    <t>C0005</t>
  </si>
  <si>
    <t>RAV4</t>
  </si>
  <si>
    <t>White</t>
  </si>
  <si>
    <t>Reserved</t>
  </si>
  <si>
    <t>C0006</t>
  </si>
  <si>
    <t>Elantra</t>
  </si>
  <si>
    <t>Diesel</t>
  </si>
  <si>
    <t>Sold</t>
  </si>
  <si>
    <t>C0007</t>
  </si>
  <si>
    <t>Mercedes</t>
  </si>
  <si>
    <t>C-Class</t>
  </si>
  <si>
    <t>Gray</t>
  </si>
  <si>
    <t>C0008</t>
  </si>
  <si>
    <t>C0009</t>
  </si>
  <si>
    <t>BMW</t>
  </si>
  <si>
    <t>3 Series</t>
  </si>
  <si>
    <t>C0010</t>
  </si>
  <si>
    <t>Model S</t>
  </si>
  <si>
    <t>C0011</t>
  </si>
  <si>
    <t>Silver</t>
  </si>
  <si>
    <t>C0012</t>
  </si>
  <si>
    <t>C0013</t>
  </si>
  <si>
    <t>C0014</t>
  </si>
  <si>
    <t>C0015</t>
  </si>
  <si>
    <t>Altima</t>
  </si>
  <si>
    <t>C0016</t>
  </si>
  <si>
    <t>Black</t>
  </si>
  <si>
    <t>C0017</t>
  </si>
  <si>
    <t>C0018</t>
  </si>
  <si>
    <t>C0019</t>
  </si>
  <si>
    <t>C0020</t>
  </si>
  <si>
    <t>C0021</t>
  </si>
  <si>
    <t>C0022</t>
  </si>
  <si>
    <t>Model X</t>
  </si>
  <si>
    <t>C0023</t>
  </si>
  <si>
    <t>C0024</t>
  </si>
  <si>
    <t>E-Class</t>
  </si>
  <si>
    <t>C0025</t>
  </si>
  <si>
    <t>C0026</t>
  </si>
  <si>
    <t>C0027</t>
  </si>
  <si>
    <t>C0028</t>
  </si>
  <si>
    <t>Kia</t>
  </si>
  <si>
    <t>Sportage</t>
  </si>
  <si>
    <t>C0029</t>
  </si>
  <si>
    <t>C0030</t>
  </si>
  <si>
    <t>Tucson</t>
  </si>
  <si>
    <t>C0031</t>
  </si>
  <si>
    <t>C0032</t>
  </si>
  <si>
    <t>C0033</t>
  </si>
  <si>
    <t>C0034</t>
  </si>
  <si>
    <t>C0035</t>
  </si>
  <si>
    <t>Cerato</t>
  </si>
  <si>
    <t>C0036</t>
  </si>
  <si>
    <t>C0037</t>
  </si>
  <si>
    <t>C0038</t>
  </si>
  <si>
    <t>C0039</t>
  </si>
  <si>
    <t>C0040</t>
  </si>
  <si>
    <t>C0041</t>
  </si>
  <si>
    <t>C0042</t>
  </si>
  <si>
    <t>C0043</t>
  </si>
  <si>
    <t>C0044</t>
  </si>
  <si>
    <t>C0045</t>
  </si>
  <si>
    <t>5 Series</t>
  </si>
  <si>
    <t>C0046</t>
  </si>
  <si>
    <t>X5</t>
  </si>
  <si>
    <t>C0047</t>
  </si>
  <si>
    <t>C0048</t>
  </si>
  <si>
    <t>GLA</t>
  </si>
  <si>
    <t>C0049</t>
  </si>
  <si>
    <t>C0050</t>
  </si>
  <si>
    <t>C0051</t>
  </si>
  <si>
    <t>C0052</t>
  </si>
  <si>
    <t>C0053</t>
  </si>
  <si>
    <t>C0054</t>
  </si>
  <si>
    <t>C0055</t>
  </si>
  <si>
    <t>C0056</t>
  </si>
  <si>
    <t>Sunny</t>
  </si>
  <si>
    <t>C0057</t>
  </si>
  <si>
    <t>C0058</t>
  </si>
  <si>
    <t>C0059</t>
  </si>
  <si>
    <t>C0060</t>
  </si>
  <si>
    <t>Corolla</t>
  </si>
  <si>
    <t>C0061</t>
  </si>
  <si>
    <t>C0062</t>
  </si>
  <si>
    <t>C0063</t>
  </si>
  <si>
    <t>Seltos</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</si>
  <si>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</si>
  <si>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</si>
  <si>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</si>
  <si>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</si>
  <si>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</si>
  <si>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</si>
  <si>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</si>
  <si>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</si>
  <si>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</si>
  <si>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</si>
  <si>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</si>
  <si>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</si>
  <si>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</si>
  <si>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</si>
  <si>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</si>
  <si>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</si>
  <si>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</si>
  <si>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</si>
  <si>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</si>
  <si>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</si>
  <si>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</si>
  <si>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</si>
  <si>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</si>
  <si>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</si>
  <si>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</si>
  <si>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</si>
  <si>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</si>
  <si>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</si>
  <si>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</si>
  <si>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</si>
  <si>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</si>
  <si>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</si>
  <si>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</si>
  <si>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</si>
  <si>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</si>
  <si>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</si>
  <si>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</si>
  <si>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</si>
  <si>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</si>
  <si>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</si>
  <si>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</si>
  <si>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</si>
  <si>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</si>
  <si>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</si>
  <si>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</si>
  <si>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</si>
  <si>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</si>
  <si>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</si>
  <si>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</si>
  <si>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</si>
  <si>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</si>
  <si>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</si>
  <si>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</si>
  <si>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</si>
  <si>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</si>
  <si>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</si>
  <si>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</si>
  <si>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</si>
  <si>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</si>
  <si>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</si>
  <si>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</si>
  <si>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</si>
  <si>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</si>
  <si>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</si>
  <si>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</si>
  <si>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</si>
  <si>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</si>
  <si>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</si>
  <si>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</si>
  <si>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</si>
  <si>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</si>
  <si>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</si>
  <si>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</si>
  <si>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</si>
  <si>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</si>
  <si>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</si>
  <si>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</si>
  <si>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</si>
  <si>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</si>
  <si>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</si>
  <si>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</si>
  <si>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</si>
  <si>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</si>
  <si>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</si>
  <si>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</si>
  <si>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</si>
  <si>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</si>
  <si>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</si>
  <si>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</si>
  <si>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</si>
  <si>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</si>
  <si>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</si>
  <si>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</si>
  <si>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</si>
  <si>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</si>
  <si>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</si>
  <si>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</si>
  <si>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</si>
  <si>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</si>
  <si>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</si>
  <si>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</si>
  <si>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</si>
  <si>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</si>
  <si>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</si>
  <si>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</si>
  <si>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</si>
  <si>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</si>
  <si>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</si>
  <si>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</si>
  <si>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</si>
  <si>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</si>
  <si>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</si>
  <si>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</si>
  <si>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</si>
  <si>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</si>
  <si>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</si>
  <si>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</si>
  <si>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</si>
  <si>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</si>
  <si>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</si>
  <si>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</si>
  <si>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</si>
  <si>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</si>
  <si>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</si>
  <si>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</si>
  <si>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</si>
  <si>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</si>
  <si>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</si>
  <si>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</si>
  <si>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</si>
  <si>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</si>
  <si>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</si>
  <si>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</si>
  <si>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</si>
  <si>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</si>
  <si>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</si>
  <si>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</si>
  <si>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</si>
  <si>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</si>
  <si>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</si>
  <si>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</si>
  <si>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</si>
  <si>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</si>
  <si>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</si>
  <si>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</si>
  <si>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</si>
  <si>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</si>
  <si>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</si>
  <si>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</si>
  <si>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</si>
  <si>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</si>
  <si>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</si>
  <si>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</si>
  <si>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</si>
  <si>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</si>
  <si>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</si>
  <si>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</si>
  <si>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</si>
  <si>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</si>
  <si>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</si>
  <si>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</si>
  <si>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</si>
  <si>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</si>
  <si>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</si>
  <si>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</si>
  <si>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</si>
  <si>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</si>
  <si>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</si>
  <si>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</si>
  <si>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</si>
  <si>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</si>
  <si>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</si>
  <si>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</si>
  <si>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</si>
  <si>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</si>
  <si>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</si>
  <si>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</si>
  <si>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</si>
  <si>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</si>
  <si>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</si>
  <si>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</si>
  <si>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</si>
  <si>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</si>
  <si>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</si>
  <si>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</si>
  <si>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</si>
  <si>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</si>
  <si>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</si>
  <si>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</si>
  <si>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</si>
  <si>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</si>
  <si>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</si>
  <si>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</si>
  <si>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</si>
  <si>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</si>
  <si>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</si>
  <si>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</si>
  <si>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</si>
  <si>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</si>
  <si>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</si>
  <si>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</si>
  <si>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</si>
  <si>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</si>
  <si>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</si>
  <si>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</si>
  <si>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</si>
  <si>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</si>
  <si>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</si>
  <si>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</si>
  <si>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</si>
  <si>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</si>
  <si>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</si>
  <si>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</si>
  <si>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</si>
  <si>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</si>
  <si>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</si>
  <si>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</si>
  <si>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</si>
  <si>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</si>
  <si>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</si>
  <si>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</si>
  <si>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</si>
  <si>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</si>
  <si>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</si>
  <si>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</si>
  <si>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</si>
  <si>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</si>
  <si>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</si>
  <si>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</si>
  <si>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</si>
  <si>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</si>
  <si>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</si>
  <si>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</si>
  <si>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</si>
  <si>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</si>
  <si>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</si>
  <si>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</si>
  <si>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</si>
  <si>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</si>
  <si>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</si>
  <si>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</si>
  <si>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</si>
  <si>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</si>
  <si>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</si>
  <si>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</si>
  <si>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</si>
  <si>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</si>
  <si>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</si>
  <si>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</si>
  <si>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</si>
  <si>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</si>
  <si>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</si>
  <si>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</si>
  <si>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</si>
  <si>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</si>
  <si>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</si>
  <si>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</si>
  <si>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</si>
  <si>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</si>
  <si>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</si>
  <si>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</si>
  <si>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</si>
  <si>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</si>
  <si>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</si>
  <si>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</si>
  <si>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</si>
  <si>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</si>
  <si>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</si>
  <si>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</si>
  <si>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</si>
  <si>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</si>
  <si>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</si>
  <si>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</si>
  <si>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</si>
  <si>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</si>
  <si>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</si>
  <si>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</si>
  <si>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</si>
  <si>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</si>
  <si>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</si>
  <si>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</si>
  <si>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</si>
  <si>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</si>
  <si>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</si>
  <si>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</si>
  <si>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</si>
  <si>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</si>
  <si>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</si>
  <si>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</si>
  <si>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</si>
  <si>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</si>
  <si>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</si>
  <si>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</si>
  <si>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</si>
  <si>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</si>
  <si>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</si>
  <si>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</si>
  <si>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</si>
  <si>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</si>
  <si>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</si>
  <si>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</si>
  <si>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</si>
  <si>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</si>
  <si>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</si>
  <si>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</si>
  <si>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</si>
  <si>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</si>
  <si>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</si>
  <si>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</si>
  <si>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</si>
  <si>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</si>
  <si>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</si>
  <si>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</si>
  <si>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</si>
  <si>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</si>
  <si>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</si>
  <si>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</si>
  <si>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</si>
  <si>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</si>
  <si>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</si>
  <si>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</si>
  <si>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</si>
  <si>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</si>
  <si>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</si>
  <si>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</si>
  <si>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</si>
  <si>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</si>
  <si>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</si>
  <si>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</si>
  <si>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</si>
  <si>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</si>
  <si>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</si>
  <si>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</si>
  <si>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</si>
  <si>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</si>
  <si>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</si>
  <si>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</si>
  <si>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</si>
  <si>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</si>
  <si>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</si>
  <si>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</si>
  <si>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</si>
  <si>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</si>
  <si>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</si>
  <si>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</si>
  <si>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</si>
  <si>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</si>
  <si>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</si>
  <si>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</si>
  <si>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</si>
  <si>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</si>
  <si>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</si>
  <si>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</si>
  <si>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</si>
  <si>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</si>
  <si>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</si>
  <si>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</si>
  <si>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</si>
  <si>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</si>
  <si>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</si>
  <si>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</si>
  <si>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</si>
  <si>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</si>
  <si>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</si>
  <si>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</si>
  <si>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</si>
  <si>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</si>
  <si>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</si>
  <si>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</si>
  <si>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</si>
  <si>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</si>
  <si>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</si>
  <si>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</si>
  <si>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</si>
  <si>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</si>
  <si>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</si>
  <si>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</si>
  <si>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</si>
  <si>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</si>
  <si>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</si>
  <si>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</si>
  <si>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</si>
  <si>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</si>
  <si>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</si>
  <si>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</si>
  <si>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</si>
  <si>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</si>
  <si>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</si>
  <si>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</si>
  <si>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</si>
  <si>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</si>
  <si>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</si>
  <si>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</si>
  <si>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</si>
  <si>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</si>
  <si>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</si>
  <si>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</si>
  <si>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</si>
  <si>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</si>
  <si>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</si>
  <si>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</si>
  <si>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</si>
  <si>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</si>
  <si>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</si>
  <si>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</si>
  <si>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</si>
  <si>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</si>
  <si>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</si>
  <si>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</si>
  <si>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</si>
  <si>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</si>
  <si>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</si>
  <si>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</si>
  <si>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</si>
  <si>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</si>
  <si>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</si>
  <si>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</si>
  <si>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</si>
  <si>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</si>
  <si>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</si>
  <si>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</si>
  <si>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</si>
  <si>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</si>
  <si>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</si>
  <si>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</si>
  <si>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</si>
  <si>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</si>
  <si>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</si>
  <si>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</si>
  <si>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</si>
  <si>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</si>
  <si>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</si>
  <si>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</si>
  <si>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</si>
  <si>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</si>
  <si>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</si>
  <si>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</si>
  <si>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Unknown</t>
  </si>
  <si>
    <t>Row Labels</t>
  </si>
  <si>
    <t>Grand Total</t>
  </si>
  <si>
    <t>Count of Car_ID</t>
  </si>
  <si>
    <t>Sum of Quantity_In_Stock</t>
  </si>
  <si>
    <t>Column Labels</t>
  </si>
  <si>
    <t>Brand_Revenue</t>
  </si>
  <si>
    <t>Sum of Brand_Revenue</t>
  </si>
  <si>
    <t>Price Range</t>
  </si>
  <si>
    <t>80k-90k</t>
  </si>
  <si>
    <t>90k-1L</t>
  </si>
  <si>
    <t>(All)</t>
  </si>
  <si>
    <t>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</si>
</sst>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_ ;_ [$₹-4009]\ * \-#,##0_ ;_ [$₹-4009]\ * &quot;-&quot;??_ ;_ @_ "/>
    <numFmt numFmtId="165" formatCode="&quot;₹&quot;\ #,##0"/>
    <numFmt numFmtId="166" formatCode="&quot;₹&quot;\ #,##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48"/>
      <color theme="1"/>
      <name val="Aptos Narrow"/>
      <family val="2"/>
      <scheme val="minor"/>
    </font>
    <font>
      <b/>
      <sz val="48"/>
      <color theme="1"/>
      <name val="Aptos Narrow"/>
      <family val="2"/>
      <scheme val="minor"/>
    </font>
    <font>
      <b/>
      <sz val="28"/>
      <color theme="8" tint="-0.249977111117893"/>
      <name val="Arial Black"/>
      <family val="2"/>
    </font>
    <font>
      <sz val="24"/>
      <color theme="1"/>
      <name val="Aptos Narrow"/>
      <family val="2"/>
      <scheme val="minor"/>
    </font>
    <font>
      <sz val="28"/>
      <color theme="1"/>
      <name val="Aptos Narrow"/>
      <family val="2"/>
      <scheme val="minor"/>
    </font>
    <font>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17" fillId="9" borderId="0" xfId="18"/>
    <xf numFmtId="164" fontId="17" fillId="9" borderId="0" xfId="18" applyNumberFormat="1"/>
    <xf numFmtId="165" fontId="17" fillId="9" borderId="0" xfId="18" applyNumberFormat="1"/>
    <xf numFmtId="0" fontId="18" fillId="0" borderId="0" xfId="0" applyFont="1"/>
    <xf numFmtId="0" fontId="16" fillId="0" borderId="0" xfId="0" applyFont="1"/>
    <xf numFmtId="0" fontId="19" fillId="0" borderId="0" xfId="0" applyFont="1" applyAlignment="1">
      <alignment horizontal="center" vertical="center"/>
    </xf>
    <xf numFmtId="0" fontId="21" fillId="0" borderId="0" xfId="0" applyFont="1"/>
    <xf numFmtId="0" fontId="22" fillId="0" borderId="0" xfId="0" applyFont="1"/>
    <xf numFmtId="165" fontId="22" fillId="0" borderId="0" xfId="0" applyNumberFormat="1" applyFont="1"/>
    <xf numFmtId="0" fontId="23" fillId="0" borderId="0" xfId="0" applyFont="1"/>
    <xf numFmtId="0" fontId="0" fillId="0" borderId="0" xfId="0" applyAlignment="1">
      <alignment horizontal="center"/>
    </xf>
    <xf numFmtId="0" fontId="20" fillId="33" borderId="0" xfId="0" applyFont="1" applyFill="1" applyAlignment="1">
      <alignment horizontal="center"/>
    </xf>
    <xf numFmtId="0" fontId="18"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quot;₹&quot;\ #,##0"/>
    </dxf>
    <dxf>
      <numFmt numFmtId="164" formatCode="_ [$₹-4009]\ * #,##0_ ;_ [$₹-4009]\ * \-#,##0_ ;_ [$₹-4009]\ * &quot;-&quot;??_ ;_ @_ "/>
    </dxf>
    <dxf>
      <numFmt numFmtId="164" formatCode="_ [$₹-4009]\ * #,##0_ ;_ [$₹-4009]\ * \-#,##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Sheet.xlsx]Status wise car!PivotTable1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 wise cars</a:t>
            </a:r>
          </a:p>
        </c:rich>
      </c:tx>
      <c:layout>
        <c:manualLayout>
          <c:xMode val="edge"/>
          <c:yMode val="edge"/>
          <c:x val="0.28813173531014591"/>
          <c:y val="0.1214996941965944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'Status wise car'!$B$3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D94-460D-818B-D638E34A5D8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D94-460D-818B-D638E34A5D8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D94-460D-818B-D638E34A5D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'Status wise car'!$A$4:$A$7</c:f>
              <c:strCache>
                <c:ptCount val="3"/>
                <c:pt idx="0">
                  <c:v>Available</c:v>
                </c:pt>
                <c:pt idx="1">
                  <c:v>Reserved</c:v>
                </c:pt>
                <c:pt idx="2">
                  <c:v>Sold</c:v>
                </c:pt>
              </c:strCache>
            </c:strRef>
          </c:cat>
          <c:val>
            <c:numRef>
              <c:f>'Status wise car'!$B$4:$B$7</c:f>
              <c:numCache>
                <c:formatCode>General</c:formatCode>
                <c:ptCount val="3"/>
                <c:pt idx="0">
                  <c:v>179</c:v>
                </c:pt>
                <c:pt idx="1">
                  <c:v>157</c:v>
                </c:pt>
                <c:pt idx="2">
                  <c:v>165</c:v>
                </c:pt>
              </c:numCache>
            </c:numRef>
          </c:val>
          <c:extLst>
            <c:ext xmlns:c16="http://schemas.microsoft.com/office/drawing/2014/chart" uri="{C3380CC4-5D6E-409C-BE32-E72D297353CC}">
              <c16:uniqueId val="{00000008-FAA0-4531-BADF-50E6FEA87D8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Sheet.xlsx]Brand VS Status!PivotTable1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Brand VS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 VS Status'!$B$3:$B$4</c:f>
              <c:strCache>
                <c:ptCount val="1"/>
                <c:pt idx="0">
                  <c:v>Available</c:v>
                </c:pt>
              </c:strCache>
            </c:strRef>
          </c:tx>
          <c:spPr>
            <a:solidFill>
              <a:schemeClr val="accent1"/>
            </a:solidFill>
            <a:ln>
              <a:noFill/>
            </a:ln>
            <a:effectLst/>
          </c:spPr>
          <c:invertIfNegative val="0"/>
          <c:cat>
            <c:strRef>
              <c:f>'Brand VS Status'!$A$5:$A$13</c:f>
              <c:strCache>
                <c:ptCount val="8"/>
                <c:pt idx="0">
                  <c:v>BMW</c:v>
                </c:pt>
                <c:pt idx="1">
                  <c:v>Hyundai</c:v>
                </c:pt>
                <c:pt idx="2">
                  <c:v>Kia</c:v>
                </c:pt>
                <c:pt idx="3">
                  <c:v>Mercedes</c:v>
                </c:pt>
                <c:pt idx="4">
                  <c:v>Nissan</c:v>
                </c:pt>
                <c:pt idx="5">
                  <c:v>Tesla</c:v>
                </c:pt>
                <c:pt idx="6">
                  <c:v>Toyota</c:v>
                </c:pt>
                <c:pt idx="7">
                  <c:v>Unknown</c:v>
                </c:pt>
              </c:strCache>
            </c:strRef>
          </c:cat>
          <c:val>
            <c:numRef>
              <c:f>'Brand VS Status'!$B$5:$B$13</c:f>
              <c:numCache>
                <c:formatCode>General</c:formatCode>
                <c:ptCount val="8"/>
                <c:pt idx="0">
                  <c:v>22</c:v>
                </c:pt>
                <c:pt idx="1">
                  <c:v>21</c:v>
                </c:pt>
                <c:pt idx="2">
                  <c:v>22</c:v>
                </c:pt>
                <c:pt idx="3">
                  <c:v>29</c:v>
                </c:pt>
                <c:pt idx="4">
                  <c:v>33</c:v>
                </c:pt>
                <c:pt idx="5">
                  <c:v>25</c:v>
                </c:pt>
                <c:pt idx="6">
                  <c:v>25</c:v>
                </c:pt>
                <c:pt idx="7">
                  <c:v>2</c:v>
                </c:pt>
              </c:numCache>
            </c:numRef>
          </c:val>
          <c:extLst>
            <c:ext xmlns:c16="http://schemas.microsoft.com/office/drawing/2014/chart" uri="{C3380CC4-5D6E-409C-BE32-E72D297353CC}">
              <c16:uniqueId val="{00000002-397A-43B7-A02C-F9998D43452A}"/>
            </c:ext>
          </c:extLst>
        </c:ser>
        <c:ser>
          <c:idx val="1"/>
          <c:order val="1"/>
          <c:tx>
            <c:strRef>
              <c:f>'Brand VS Status'!$C$3:$C$4</c:f>
              <c:strCache>
                <c:ptCount val="1"/>
                <c:pt idx="0">
                  <c:v>Reserved</c:v>
                </c:pt>
              </c:strCache>
            </c:strRef>
          </c:tx>
          <c:spPr>
            <a:solidFill>
              <a:schemeClr val="accent2"/>
            </a:solidFill>
            <a:ln>
              <a:noFill/>
            </a:ln>
            <a:effectLst/>
          </c:spPr>
          <c:invertIfNegative val="0"/>
          <c:cat>
            <c:strRef>
              <c:f>'Brand VS Status'!$A$5:$A$13</c:f>
              <c:strCache>
                <c:ptCount val="8"/>
                <c:pt idx="0">
                  <c:v>BMW</c:v>
                </c:pt>
                <c:pt idx="1">
                  <c:v>Hyundai</c:v>
                </c:pt>
                <c:pt idx="2">
                  <c:v>Kia</c:v>
                </c:pt>
                <c:pt idx="3">
                  <c:v>Mercedes</c:v>
                </c:pt>
                <c:pt idx="4">
                  <c:v>Nissan</c:v>
                </c:pt>
                <c:pt idx="5">
                  <c:v>Tesla</c:v>
                </c:pt>
                <c:pt idx="6">
                  <c:v>Toyota</c:v>
                </c:pt>
                <c:pt idx="7">
                  <c:v>Unknown</c:v>
                </c:pt>
              </c:strCache>
            </c:strRef>
          </c:cat>
          <c:val>
            <c:numRef>
              <c:f>'Brand VS Status'!$C$5:$C$13</c:f>
              <c:numCache>
                <c:formatCode>General</c:formatCode>
                <c:ptCount val="8"/>
                <c:pt idx="0">
                  <c:v>19</c:v>
                </c:pt>
                <c:pt idx="1">
                  <c:v>19</c:v>
                </c:pt>
                <c:pt idx="2">
                  <c:v>17</c:v>
                </c:pt>
                <c:pt idx="3">
                  <c:v>27</c:v>
                </c:pt>
                <c:pt idx="4">
                  <c:v>22</c:v>
                </c:pt>
                <c:pt idx="5">
                  <c:v>31</c:v>
                </c:pt>
                <c:pt idx="6">
                  <c:v>21</c:v>
                </c:pt>
                <c:pt idx="7">
                  <c:v>1</c:v>
                </c:pt>
              </c:numCache>
            </c:numRef>
          </c:val>
          <c:extLst>
            <c:ext xmlns:c16="http://schemas.microsoft.com/office/drawing/2014/chart" uri="{C3380CC4-5D6E-409C-BE32-E72D297353CC}">
              <c16:uniqueId val="{00000000-E5F4-458D-B593-F4C22514667F}"/>
            </c:ext>
          </c:extLst>
        </c:ser>
        <c:ser>
          <c:idx val="2"/>
          <c:order val="2"/>
          <c:tx>
            <c:strRef>
              <c:f>'Brand VS Status'!$D$3:$D$4</c:f>
              <c:strCache>
                <c:ptCount val="1"/>
                <c:pt idx="0">
                  <c:v>Sold</c:v>
                </c:pt>
              </c:strCache>
            </c:strRef>
          </c:tx>
          <c:spPr>
            <a:solidFill>
              <a:schemeClr val="accent3"/>
            </a:solidFill>
            <a:ln>
              <a:noFill/>
            </a:ln>
            <a:effectLst/>
          </c:spPr>
          <c:invertIfNegative val="0"/>
          <c:cat>
            <c:strRef>
              <c:f>'Brand VS Status'!$A$5:$A$13</c:f>
              <c:strCache>
                <c:ptCount val="8"/>
                <c:pt idx="0">
                  <c:v>BMW</c:v>
                </c:pt>
                <c:pt idx="1">
                  <c:v>Hyundai</c:v>
                </c:pt>
                <c:pt idx="2">
                  <c:v>Kia</c:v>
                </c:pt>
                <c:pt idx="3">
                  <c:v>Mercedes</c:v>
                </c:pt>
                <c:pt idx="4">
                  <c:v>Nissan</c:v>
                </c:pt>
                <c:pt idx="5">
                  <c:v>Tesla</c:v>
                </c:pt>
                <c:pt idx="6">
                  <c:v>Toyota</c:v>
                </c:pt>
                <c:pt idx="7">
                  <c:v>Unknown</c:v>
                </c:pt>
              </c:strCache>
            </c:strRef>
          </c:cat>
          <c:val>
            <c:numRef>
              <c:f>'Brand VS Status'!$D$5:$D$13</c:f>
              <c:numCache>
                <c:formatCode>General</c:formatCode>
                <c:ptCount val="8"/>
                <c:pt idx="0">
                  <c:v>27</c:v>
                </c:pt>
                <c:pt idx="1">
                  <c:v>19</c:v>
                </c:pt>
                <c:pt idx="2">
                  <c:v>29</c:v>
                </c:pt>
                <c:pt idx="3">
                  <c:v>21</c:v>
                </c:pt>
                <c:pt idx="4">
                  <c:v>23</c:v>
                </c:pt>
                <c:pt idx="5">
                  <c:v>21</c:v>
                </c:pt>
                <c:pt idx="6">
                  <c:v>24</c:v>
                </c:pt>
                <c:pt idx="7">
                  <c:v>1</c:v>
                </c:pt>
              </c:numCache>
            </c:numRef>
          </c:val>
          <c:extLst>
            <c:ext xmlns:c16="http://schemas.microsoft.com/office/drawing/2014/chart" uri="{C3380CC4-5D6E-409C-BE32-E72D297353CC}">
              <c16:uniqueId val="{00000001-E5F4-458D-B593-F4C22514667F}"/>
            </c:ext>
          </c:extLst>
        </c:ser>
        <c:dLbls>
          <c:showLegendKey val="0"/>
          <c:showVal val="0"/>
          <c:showCatName val="0"/>
          <c:showSerName val="0"/>
          <c:showPercent val="0"/>
          <c:showBubbleSize val="0"/>
        </c:dLbls>
        <c:gapWidth val="219"/>
        <c:overlap val="-27"/>
        <c:axId val="453073055"/>
        <c:axId val="453060095"/>
      </c:barChart>
      <c:catAx>
        <c:axId val="45307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60095"/>
        <c:crosses val="autoZero"/>
        <c:auto val="1"/>
        <c:lblAlgn val="ctr"/>
        <c:lblOffset val="100"/>
        <c:noMultiLvlLbl val="0"/>
      </c:catAx>
      <c:valAx>
        <c:axId val="45306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73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Sheet.xlsx]Quantity in stock!PivotTable2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QuANTITY in stock</a:t>
            </a:r>
          </a:p>
        </c:rich>
      </c:tx>
      <c:layout>
        <c:manualLayout>
          <c:xMode val="edge"/>
          <c:yMode val="edge"/>
          <c:x val="0.42368037328667246"/>
          <c:y val="7.189656848449499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4691358024691246E-2"/>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1728395061727828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5432220278020803E-2"/>
              <c:y val="-1.095946340040846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20691163604548"/>
                  <c:h val="7.8938466025080201E-2"/>
                </c:manualLayout>
              </c15:layout>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629508117040982E-3"/>
              <c:y val="1.72839506172838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81184990765039"/>
                  <c:h val="8.3876737630018461E-2"/>
                </c:manualLayout>
              </c15:layout>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4691358024691246E-2"/>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0864197530864764E-3"/>
              <c:y val="1.48148148148147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1728395061728392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0864197530863632E-3"/>
              <c:y val="-2.46913580246913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4691358024691246E-2"/>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30747545445704"/>
          <c:y val="0.25285039370078738"/>
          <c:w val="0.43610430640614362"/>
          <c:h val="0.69776689024982974"/>
        </c:manualLayout>
      </c:layout>
      <c:doughnutChart>
        <c:varyColors val="1"/>
        <c:ser>
          <c:idx val="0"/>
          <c:order val="0"/>
          <c:tx>
            <c:strRef>
              <c:f>'Quantity in stock'!$B$3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8B7-4439-9055-9C47DF7FCE4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8B7-4439-9055-9C47DF7FCE4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8B7-4439-9055-9C47DF7FCE4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8B7-4439-9055-9C47DF7FCE4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8B7-4439-9055-9C47DF7FCE43}"/>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8B7-4439-9055-9C47DF7FCE43}"/>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B8B7-4439-9055-9C47DF7FCE43}"/>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B8B7-4439-9055-9C47DF7FCE43}"/>
              </c:ext>
            </c:extLst>
          </c:dPt>
          <c:dLbls>
            <c:dLbl>
              <c:idx val="0"/>
              <c:layout>
                <c:manualLayout>
                  <c:x val="2.4691358024691246E-2"/>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B7-4439-9055-9C47DF7FCE43}"/>
                </c:ext>
              </c:extLst>
            </c:dLbl>
            <c:dLbl>
              <c:idx val="1"/>
              <c:layout>
                <c:manualLayout>
                  <c:x val="6.1728395061727828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B7-4439-9055-9C47DF7FCE43}"/>
                </c:ext>
              </c:extLst>
            </c:dLbl>
            <c:dLbl>
              <c:idx val="2"/>
              <c:layout>
                <c:manualLayout>
                  <c:x val="1.5432220278020803E-2"/>
                  <c:y val="-1.095946340040846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20691163604548"/>
                      <c:h val="7.8938466025080201E-2"/>
                    </c:manualLayout>
                  </c15:layout>
                </c:ext>
                <c:ext xmlns:c16="http://schemas.microsoft.com/office/drawing/2014/chart" uri="{C3380CC4-5D6E-409C-BE32-E72D297353CC}">
                  <c16:uniqueId val="{00000005-B8B7-4439-9055-9C47DF7FCE43}"/>
                </c:ext>
              </c:extLst>
            </c:dLbl>
            <c:dLbl>
              <c:idx val="3"/>
              <c:layout>
                <c:manualLayout>
                  <c:x val="-4.629508117040982E-3"/>
                  <c:y val="1.72839506172838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81184990765039"/>
                      <c:h val="8.3876737630018461E-2"/>
                    </c:manualLayout>
                  </c15:layout>
                </c:ext>
                <c:ext xmlns:c16="http://schemas.microsoft.com/office/drawing/2014/chart" uri="{C3380CC4-5D6E-409C-BE32-E72D297353CC}">
                  <c16:uniqueId val="{00000007-B8B7-4439-9055-9C47DF7FCE43}"/>
                </c:ext>
              </c:extLst>
            </c:dLbl>
            <c:dLbl>
              <c:idx val="4"/>
              <c:layout>
                <c:manualLayout>
                  <c:x val="2.4691358024691246E-2"/>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8B7-4439-9055-9C47DF7FCE43}"/>
                </c:ext>
              </c:extLst>
            </c:dLbl>
            <c:dLbl>
              <c:idx val="5"/>
              <c:layout>
                <c:manualLayout>
                  <c:x val="-3.0864197530864764E-3"/>
                  <c:y val="1.48148148148147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8B7-4439-9055-9C47DF7FCE43}"/>
                </c:ext>
              </c:extLst>
            </c:dLbl>
            <c:dLbl>
              <c:idx val="6"/>
              <c:layout>
                <c:manualLayout>
                  <c:x val="-6.1728395061728392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8B7-4439-9055-9C47DF7FCE43}"/>
                </c:ext>
              </c:extLst>
            </c:dLbl>
            <c:dLbl>
              <c:idx val="7"/>
              <c:layout>
                <c:manualLayout>
                  <c:x val="3.0864197530863632E-3"/>
                  <c:y val="-2.46913580246913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8B7-4439-9055-9C47DF7FCE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in stock'!$A$4:$A$12</c:f>
              <c:strCache>
                <c:ptCount val="8"/>
                <c:pt idx="0">
                  <c:v>BMW</c:v>
                </c:pt>
                <c:pt idx="1">
                  <c:v>Hyundai</c:v>
                </c:pt>
                <c:pt idx="2">
                  <c:v>Kia</c:v>
                </c:pt>
                <c:pt idx="3">
                  <c:v>Mercedes</c:v>
                </c:pt>
                <c:pt idx="4">
                  <c:v>Nissan</c:v>
                </c:pt>
                <c:pt idx="5">
                  <c:v>Tesla</c:v>
                </c:pt>
                <c:pt idx="6">
                  <c:v>Toyota</c:v>
                </c:pt>
                <c:pt idx="7">
                  <c:v>Unknown</c:v>
                </c:pt>
              </c:strCache>
            </c:strRef>
          </c:cat>
          <c:val>
            <c:numRef>
              <c:f>'Quantity in stock'!$B$4:$B$12</c:f>
              <c:numCache>
                <c:formatCode>General</c:formatCode>
                <c:ptCount val="8"/>
                <c:pt idx="0">
                  <c:v>670</c:v>
                </c:pt>
                <c:pt idx="1">
                  <c:v>543</c:v>
                </c:pt>
                <c:pt idx="2">
                  <c:v>673</c:v>
                </c:pt>
                <c:pt idx="3">
                  <c:v>793</c:v>
                </c:pt>
                <c:pt idx="4">
                  <c:v>782</c:v>
                </c:pt>
                <c:pt idx="5">
                  <c:v>776</c:v>
                </c:pt>
                <c:pt idx="6">
                  <c:v>699</c:v>
                </c:pt>
                <c:pt idx="7">
                  <c:v>56</c:v>
                </c:pt>
              </c:numCache>
            </c:numRef>
          </c:val>
          <c:extLst>
            <c:ext xmlns:c16="http://schemas.microsoft.com/office/drawing/2014/chart" uri="{C3380CC4-5D6E-409C-BE32-E72D297353CC}">
              <c16:uniqueId val="{00000012-0548-430D-9E8B-E391018B7B5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Sheet.xlsx]Brand wise sold cars!PivotTable3</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Brand  wise sold revenue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'Brand wise sold cars'!$B$3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'Brand wise sold cars'!$A$4:$A$12</c:f>
              <c:strCache>
                <c:ptCount val="8"/>
                <c:pt idx="0">
                  <c:v>BMW</c:v>
                </c:pt>
                <c:pt idx="1">
                  <c:v>Hyundai</c:v>
                </c:pt>
                <c:pt idx="2">
                  <c:v>Kia</c:v>
                </c:pt>
                <c:pt idx="3">
                  <c:v>Mercedes</c:v>
                </c:pt>
                <c:pt idx="4">
                  <c:v>Nissan</c:v>
                </c:pt>
                <c:pt idx="5">
                  <c:v>Tesla</c:v>
                </c:pt>
                <c:pt idx="6">
                  <c:v>Toyota</c:v>
                </c:pt>
                <c:pt idx="7">
                  <c:v>Unknown</c:v>
                </c:pt>
              </c:strCache>
            </c:strRef>
          </c:cat>
          <c:val>
            <c:numRef>
              <c:f>'Brand wise sold cars'!$B$4:$B$12</c:f>
              <c:numCache>
                <c:formatCode>_ [$₹-4009]\ * #,##0_ ;_ [$₹-4009]\ * \-#,##0_ ;_ [$₹-4009]\ * "-"??_ ;_ @_ </c:formatCode>
                <c:ptCount val="8"/>
                <c:pt idx="0">
                  <c:v>39708628.700000003</c:v>
                </c:pt>
                <c:pt idx="1">
                  <c:v>32201446.48</c:v>
                </c:pt>
                <c:pt idx="2">
                  <c:v>41486984.19000002</c:v>
                </c:pt>
                <c:pt idx="3">
                  <c:v>49834158.530000001</c:v>
                </c:pt>
                <c:pt idx="4">
                  <c:v>45239722.919999994</c:v>
                </c:pt>
                <c:pt idx="5">
                  <c:v>42021554.959999986</c:v>
                </c:pt>
                <c:pt idx="6">
                  <c:v>39587332.460000008</c:v>
                </c:pt>
                <c:pt idx="7">
                  <c:v>3353983.27</c:v>
                </c:pt>
              </c:numCache>
            </c:numRef>
          </c:val>
          <c:extLst>
            <c:ext xmlns:c16="http://schemas.microsoft.com/office/drawing/2014/chart" uri="{C3380CC4-5D6E-409C-BE32-E72D297353CC}">
              <c16:uniqueId val="{00000000-B1F7-44FB-BE7C-80B3D2E72C25}"/>
            </c:ext>
          </c:extLst>
        </c:ser>
        <c:dLbls>
          <c:showLegendKey val="0"/>
          <c:showVal val="0"/>
          <c:showCatName val="0"/>
          <c:showSerName val="0"/>
          <c:showPercent val="0"/>
          <c:showBubbleSize val="0"/>
        </c:dLbls>
        <c:gapWidth val="150"/>
        <c:overlap val="100"/>
        <c:axId val="453082175"/>
        <c:axId val="453082655"/>
      </c:barChart>
      <c:catAx>
        <c:axId val="45308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3082655"/>
        <c:crosses val="autoZero"/>
        <c:auto val="1"/>
        <c:lblAlgn val="ctr"/>
        <c:lblOffset val="100"/>
        <c:noMultiLvlLbl val="0"/>
      </c:catAx>
      <c:valAx>
        <c:axId val="453082655"/>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308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Sheet.xlsx]Model wise sale!PivotTable4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Model wise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 wise sale'!$B$3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'Model wise sale'!$A$4:$A$25</c:f>
              <c:strCache>
                <c:ptCount val="21"/>
                <c:pt idx="0">
                  <c:v>3 Series</c:v>
                </c:pt>
                <c:pt idx="1">
                  <c:v>5 Series</c:v>
                </c:pt>
                <c:pt idx="2">
                  <c:v>Altima</c:v>
                </c:pt>
                <c:pt idx="3">
                  <c:v>Camry</c:v>
                </c:pt>
                <c:pt idx="4">
                  <c:v>C-Class</c:v>
                </c:pt>
                <c:pt idx="5">
                  <c:v>Cerato</c:v>
                </c:pt>
                <c:pt idx="6">
                  <c:v>Corolla</c:v>
                </c:pt>
                <c:pt idx="7">
                  <c:v>E-Class</c:v>
                </c:pt>
                <c:pt idx="8">
                  <c:v>Elantra</c:v>
                </c:pt>
                <c:pt idx="9">
                  <c:v>GLA</c:v>
                </c:pt>
                <c:pt idx="10">
                  <c:v>Model 3</c:v>
                </c:pt>
                <c:pt idx="11">
                  <c:v>Model S</c:v>
                </c:pt>
                <c:pt idx="12">
                  <c:v>Model X</c:v>
                </c:pt>
                <c:pt idx="13">
                  <c:v>Qashqai</c:v>
                </c:pt>
                <c:pt idx="14">
                  <c:v>RAV4</c:v>
                </c:pt>
                <c:pt idx="15">
                  <c:v>Seltos</c:v>
                </c:pt>
                <c:pt idx="16">
                  <c:v>Sonata</c:v>
                </c:pt>
                <c:pt idx="17">
                  <c:v>Sportage</c:v>
                </c:pt>
                <c:pt idx="18">
                  <c:v>Sunny</c:v>
                </c:pt>
                <c:pt idx="19">
                  <c:v>Tucson</c:v>
                </c:pt>
                <c:pt idx="20">
                  <c:v>X5</c:v>
                </c:pt>
              </c:strCache>
            </c:strRef>
          </c:cat>
          <c:val>
            <c:numRef>
              <c:f>'Model wise sale'!$B$4:$B$25</c:f>
              <c:numCache>
                <c:formatCode>General</c:formatCode>
                <c:ptCount val="21"/>
                <c:pt idx="0">
                  <c:v>250</c:v>
                </c:pt>
                <c:pt idx="1">
                  <c:v>237</c:v>
                </c:pt>
                <c:pt idx="2">
                  <c:v>161</c:v>
                </c:pt>
                <c:pt idx="3">
                  <c:v>360</c:v>
                </c:pt>
                <c:pt idx="4">
                  <c:v>251</c:v>
                </c:pt>
                <c:pt idx="5">
                  <c:v>246</c:v>
                </c:pt>
                <c:pt idx="6">
                  <c:v>162</c:v>
                </c:pt>
                <c:pt idx="7">
                  <c:v>247</c:v>
                </c:pt>
                <c:pt idx="8">
                  <c:v>169</c:v>
                </c:pt>
                <c:pt idx="9">
                  <c:v>295</c:v>
                </c:pt>
                <c:pt idx="10">
                  <c:v>266</c:v>
                </c:pt>
                <c:pt idx="11">
                  <c:v>235</c:v>
                </c:pt>
                <c:pt idx="12">
                  <c:v>285</c:v>
                </c:pt>
                <c:pt idx="13">
                  <c:v>288</c:v>
                </c:pt>
                <c:pt idx="14">
                  <c:v>177</c:v>
                </c:pt>
                <c:pt idx="15">
                  <c:v>217</c:v>
                </c:pt>
                <c:pt idx="16">
                  <c:v>164</c:v>
                </c:pt>
                <c:pt idx="17">
                  <c:v>210</c:v>
                </c:pt>
                <c:pt idx="18">
                  <c:v>350</c:v>
                </c:pt>
                <c:pt idx="19">
                  <c:v>225</c:v>
                </c:pt>
                <c:pt idx="20">
                  <c:v>197</c:v>
                </c:pt>
              </c:numCache>
            </c:numRef>
          </c:val>
          <c:extLst>
            <c:ext xmlns:c16="http://schemas.microsoft.com/office/drawing/2014/chart" uri="{C3380CC4-5D6E-409C-BE32-E72D297353CC}">
              <c16:uniqueId val="{00000002-523A-4DB4-9C14-F55D7E8F1E5F}"/>
            </c:ext>
          </c:extLst>
        </c:ser>
        <c:dLbls>
          <c:showLegendKey val="0"/>
          <c:showVal val="0"/>
          <c:showCatName val="0"/>
          <c:showSerName val="0"/>
          <c:showPercent val="0"/>
          <c:showBubbleSize val="0"/>
        </c:dLbls>
        <c:gapWidth val="115"/>
        <c:overlap val="-20"/>
        <c:axId val="453040415"/>
        <c:axId val="453038975"/>
      </c:barChart>
      <c:catAx>
        <c:axId val="453040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38975"/>
        <c:crosses val="autoZero"/>
        <c:auto val="1"/>
        <c:lblAlgn val="ctr"/>
        <c:lblOffset val="100"/>
        <c:noMultiLvlLbl val="0"/>
      </c:catAx>
      <c:valAx>
        <c:axId val="45303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4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Sheet.xlsx]Year wise sale!PivotTable5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Year wise sale</a:t>
            </a:r>
          </a:p>
        </c:rich>
      </c:tx>
      <c:layout>
        <c:manualLayout>
          <c:xMode val="edge"/>
          <c:yMode val="edge"/>
          <c:x val="0.39190913421781182"/>
          <c:y val="0.1257504102309791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'Year wise sale'!$B$3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 wise sale'!$A$4:$A$15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'Year wise sale'!$B$4:$B$15</c:f>
              <c:numCache>
                <c:formatCode>General</c:formatCode>
                <c:ptCount val="11"/>
                <c:pt idx="0">
                  <c:v>463</c:v>
                </c:pt>
                <c:pt idx="1">
                  <c:v>553</c:v>
                </c:pt>
                <c:pt idx="2">
                  <c:v>404</c:v>
                </c:pt>
                <c:pt idx="3">
                  <c:v>709</c:v>
                </c:pt>
                <c:pt idx="4">
                  <c:v>554</c:v>
                </c:pt>
                <c:pt idx="5">
                  <c:v>321</c:v>
                </c:pt>
                <c:pt idx="6">
                  <c:v>275</c:v>
                </c:pt>
                <c:pt idx="7">
                  <c:v>527</c:v>
                </c:pt>
                <c:pt idx="8">
                  <c:v>413</c:v>
                </c:pt>
                <c:pt idx="9">
                  <c:v>410</c:v>
                </c:pt>
                <c:pt idx="10">
                  <c:v>363</c:v>
                </c:pt>
              </c:numCache>
            </c:numRef>
          </c:val>
          <c:extLst>
            <c:ext xmlns:c16="http://schemas.microsoft.com/office/drawing/2014/chart" uri="{C3380CC4-5D6E-409C-BE32-E72D297353CC}">
              <c16:uniqueId val="{00000002-15D7-475B-9674-35D44D3FBCD0}"/>
            </c:ext>
          </c:extLst>
        </c:ser>
        <c:dLbls>
          <c:showLegendKey val="0"/>
          <c:showVal val="1"/>
          <c:showCatName val="0"/>
          <c:showSerName val="0"/>
          <c:showPercent val="0"/>
          <c:showBubbleSize val="0"/>
        </c:dLbls>
        <c:gapWidth val="150"/>
        <c:shape val="box"/>
        <c:axId val="453088895"/>
        <c:axId val="453032735"/>
        <c:axId val="0"/>
      </c:bar3DChart>
      <c:catAx>
        <c:axId val="453088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32735"/>
        <c:crosses val="autoZero"/>
        <c:auto val="1"/>
        <c:lblAlgn val="ctr"/>
        <c:lblOffset val="100"/>
        <c:noMultiLvlLbl val="0"/>
      </c:catAx>
      <c:valAx>
        <c:axId val="45303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8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Sheet.xlsx]Transmission VS Status Avabile!PivotTable6</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Tranmission VS Status</a:t>
            </a:r>
          </a:p>
        </c:rich>
      </c:tx>
      <c:layout>
        <c:manualLayout>
          <c:xMode val="edge"/>
          <c:yMode val="edge"/>
          <c:x val="0.28814417776091239"/>
          <c:y val="9.4771937291622338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pivotFmt>
      <c:pivotFmt>
        <c:idx val="4"/>
        <c:spPr>
          <a:solidFill>
            <a:schemeClr val="accent2"/>
          </a:solidFill>
          <a:ln>
            <a:noFill/>
          </a:ln>
          <a:effectLst>
            <a:outerShdw blurRad="63500" sx="102000" sy="102000" algn="ctr" rotWithShape="0">
              <a:prstClr val="black">
                <a:alpha val="20000"/>
              </a:prstClr>
            </a:outerShdw>
          </a:effectLst>
        </c:spPr>
      </c:pivotFmt>
      <c:pivotFmt>
        <c:idx val="5"/>
        <c:spPr>
          <a:solidFill>
            <a:schemeClr val="accent1"/>
          </a:solidFill>
          <a:ln>
            <a:noFill/>
          </a:ln>
          <a:effectLst>
            <a:outerShdw blurRad="63500" sx="102000" sy="102000" algn="ctr" rotWithShape="0">
              <a:prstClr val="black">
                <a:alpha val="20000"/>
              </a:prstClr>
            </a:outerShdw>
          </a:effectLst>
        </c:spPr>
      </c:pivotFmt>
      <c:pivotFmt>
        <c:idx val="6"/>
        <c:spPr>
          <a:solidFill>
            <a:schemeClr val="accent2"/>
          </a:solidFill>
          <a:ln>
            <a:noFill/>
          </a:ln>
          <a:effectLst>
            <a:outerShdw blurRad="63500" sx="102000" sy="102000" algn="ctr" rotWithShape="0">
              <a:prstClr val="black">
                <a:alpha val="20000"/>
              </a:prstClr>
            </a:outerShdw>
          </a:effectLst>
        </c:spPr>
      </c:pivotFmt>
      <c:pivotFmt>
        <c:idx val="7"/>
        <c:spPr>
          <a:solidFill>
            <a:schemeClr val="accent1"/>
          </a:solidFill>
          <a:ln>
            <a:noFill/>
          </a:ln>
          <a:effectLst>
            <a:outerShdw blurRad="63500" sx="102000" sy="102000" algn="ctr" rotWithShape="0">
              <a:prstClr val="black">
                <a:alpha val="20000"/>
              </a:prstClr>
            </a:outerShdw>
          </a:effectLst>
        </c:spPr>
      </c:pivotFmt>
      <c:pivotFmt>
        <c:idx val="8"/>
        <c:spPr>
          <a:solidFill>
            <a:schemeClr val="accent2"/>
          </a:solidFill>
          <a:ln>
            <a:noFill/>
          </a:ln>
          <a:effectLst>
            <a:outerShdw blurRad="63500" sx="102000" sy="102000" algn="ctr" rotWithShape="0">
              <a:prstClr val="black">
                <a:alpha val="20000"/>
              </a:prstClr>
            </a:outerShdw>
          </a:effectLst>
        </c:spPr>
      </c:pivotFmt>
      <c:pivotFmt>
        <c:idx val="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'Transmission VS Status Avabile'!$B$3:$B$4</c:f>
              <c:strCache>
                <c:ptCount val="1"/>
                <c:pt idx="0">
                  <c:v>Available</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8BE-4CAD-8FEB-5838D252153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8BE-4CAD-8FEB-5838D25215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'Transmission VS Status Avabile'!$A$5:$A$7</c:f>
              <c:strCache>
                <c:ptCount val="2"/>
                <c:pt idx="0">
                  <c:v>Automatic</c:v>
                </c:pt>
                <c:pt idx="1">
                  <c:v>Manual</c:v>
                </c:pt>
              </c:strCache>
            </c:strRef>
          </c:cat>
          <c:val>
            <c:numRef>
              <c:f>'Transmission VS Status Avabile'!$B$5:$B$7</c:f>
              <c:numCache>
                <c:formatCode>General</c:formatCode>
                <c:ptCount val="2"/>
                <c:pt idx="0">
                  <c:v>96</c:v>
                </c:pt>
                <c:pt idx="1">
                  <c:v>83</c:v>
                </c:pt>
              </c:numCache>
            </c:numRef>
          </c:val>
          <c:extLst>
            <c:ext xmlns:c16="http://schemas.microsoft.com/office/drawing/2014/chart" uri="{C3380CC4-5D6E-409C-BE32-E72D297353CC}">
              <c16:uniqueId val="{0000000C-AC42-4B7B-890E-9F6908E1D8D6}"/>
            </c:ext>
          </c:extLst>
        </c:ser>
        <c:ser>
          <c:idx val="1"/>
          <c:order val="1"/>
          <c:tx>
            <c:strRef>
              <c:f>'Transmission VS Status Avabile'!$C$3:$C$4</c:f>
              <c:strCache>
                <c:ptCount val="1"/>
                <c:pt idx="0">
                  <c:v>Reserved</c:v>
                </c:pt>
              </c:strCache>
            </c:strRef>
          </c:tx>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'Transmission VS Status Avabile'!$A$5:$A$7</c:f>
              <c:strCache>
                <c:ptCount val="2"/>
                <c:pt idx="0">
                  <c:v>Automatic</c:v>
                </c:pt>
                <c:pt idx="1">
                  <c:v>Manual</c:v>
                </c:pt>
              </c:strCache>
            </c:strRef>
          </c:cat>
          <c:val>
            <c:numRef>
              <c:f>'Transmission VS Status Avabile'!$C$5:$C$7</c:f>
              <c:numCache>
                <c:formatCode>General</c:formatCode>
                <c:ptCount val="2"/>
                <c:pt idx="0">
                  <c:v>72</c:v>
                </c:pt>
                <c:pt idx="1">
                  <c:v>85</c:v>
                </c:pt>
              </c:numCache>
            </c:numRef>
          </c:val>
          <c:extLst>
            <c:ext xmlns:c16="http://schemas.microsoft.com/office/drawing/2014/chart" uri="{C3380CC4-5D6E-409C-BE32-E72D297353CC}">
              <c16:uniqueId val="{0000000C-BF8C-4006-9FE1-8508876D19F3}"/>
            </c:ext>
          </c:extLst>
        </c:ser>
        <c:ser>
          <c:idx val="2"/>
          <c:order val="2"/>
          <c:tx>
            <c:strRef>
              <c:f>'Transmission VS Status Avabile'!$D$3:$D$4</c:f>
              <c:strCache>
                <c:ptCount val="1"/>
                <c:pt idx="0">
                  <c:v>Sold</c:v>
                </c:pt>
              </c:strCache>
            </c:strRef>
          </c:tx>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'Transmission VS Status Avabile'!$A$5:$A$7</c:f>
              <c:strCache>
                <c:ptCount val="2"/>
                <c:pt idx="0">
                  <c:v>Automatic</c:v>
                </c:pt>
                <c:pt idx="1">
                  <c:v>Manual</c:v>
                </c:pt>
              </c:strCache>
            </c:strRef>
          </c:cat>
          <c:val>
            <c:numRef>
              <c:f>'Transmission VS Status Avabile'!$D$5:$D$7</c:f>
              <c:numCache>
                <c:formatCode>General</c:formatCode>
                <c:ptCount val="2"/>
                <c:pt idx="0">
                  <c:v>79</c:v>
                </c:pt>
                <c:pt idx="1">
                  <c:v>86</c:v>
                </c:pt>
              </c:numCache>
            </c:numRef>
          </c:val>
          <c:extLst>
            <c:ext xmlns:c16="http://schemas.microsoft.com/office/drawing/2014/chart" uri="{C3380CC4-5D6E-409C-BE32-E72D297353CC}">
              <c16:uniqueId val="{0000000D-BF8C-4006-9FE1-8508876D19F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Sheet.xlsx]Engine type VS Stutus!PivotTable8</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Engin Type WISE</a:t>
            </a:r>
            <a:r>
              <a:rPr lang="en-IN" baseline="0"/>
              <a:t> SALE</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'Engine type VS Stutus'!$B$3:$B$4</c:f>
              <c:strCache>
                <c:ptCount val="1"/>
                <c:pt idx="0">
                  <c:v>Available</c:v>
                </c:pt>
              </c:strCache>
            </c:strRef>
          </c:tx>
          <c:spPr>
            <a:gradFill>
              <a:gsLst>
                <a:gs pos="100000">
                  <a:schemeClr val="accent1">
                    <a:alpha val="0"/>
                  </a:schemeClr>
                </a:gs>
                <a:gs pos="50000">
                  <a:schemeClr val="accent1"/>
                </a:gs>
              </a:gsLst>
              <a:lin ang="5400000" scaled="0"/>
            </a:gradFill>
            <a:ln>
              <a:noFill/>
            </a:ln>
            <a:effectLst/>
            <a:sp3d/>
          </c:spPr>
          <c:invertIfNegative val="0"/>
          <c:cat>
            <c:strRef>
              <c:f>'Engine type VS Stutus'!$A$5:$A$9</c:f>
              <c:strCache>
                <c:ptCount val="4"/>
                <c:pt idx="0">
                  <c:v>Diesel</c:v>
                </c:pt>
                <c:pt idx="1">
                  <c:v>Electric</c:v>
                </c:pt>
                <c:pt idx="2">
                  <c:v>Hybrid</c:v>
                </c:pt>
                <c:pt idx="3">
                  <c:v>Petrol</c:v>
                </c:pt>
              </c:strCache>
            </c:strRef>
          </c:cat>
          <c:val>
            <c:numRef>
              <c:f>'Engine type VS Stutus'!$B$5:$B$9</c:f>
              <c:numCache>
                <c:formatCode>General</c:formatCode>
                <c:ptCount val="4"/>
                <c:pt idx="0">
                  <c:v>485</c:v>
                </c:pt>
                <c:pt idx="1">
                  <c:v>482</c:v>
                </c:pt>
                <c:pt idx="2">
                  <c:v>380</c:v>
                </c:pt>
                <c:pt idx="3">
                  <c:v>477</c:v>
                </c:pt>
              </c:numCache>
            </c:numRef>
          </c:val>
          <c:extLst>
            <c:ext xmlns:c16="http://schemas.microsoft.com/office/drawing/2014/chart" uri="{C3380CC4-5D6E-409C-BE32-E72D297353CC}">
              <c16:uniqueId val="{00000002-0744-4D76-A9AE-3849AE5E58AA}"/>
            </c:ext>
          </c:extLst>
        </c:ser>
        <c:ser>
          <c:idx val="1"/>
          <c:order val="1"/>
          <c:tx>
            <c:strRef>
              <c:f>'Engine type VS Stutus'!$C$3:$C$4</c:f>
              <c:strCache>
                <c:ptCount val="1"/>
                <c:pt idx="0">
                  <c:v>Reserved</c:v>
                </c:pt>
              </c:strCache>
            </c:strRef>
          </c:tx>
          <c:spPr>
            <a:gradFill>
              <a:gsLst>
                <a:gs pos="100000">
                  <a:schemeClr val="accent2">
                    <a:alpha val="0"/>
                  </a:schemeClr>
                </a:gs>
                <a:gs pos="50000">
                  <a:schemeClr val="accent2"/>
                </a:gs>
              </a:gsLst>
              <a:lin ang="5400000" scaled="0"/>
            </a:gradFill>
            <a:ln>
              <a:noFill/>
            </a:ln>
            <a:effectLst/>
            <a:sp3d/>
          </c:spPr>
          <c:invertIfNegative val="0"/>
          <c:cat>
            <c:strRef>
              <c:f>'Engine type VS Stutus'!$A$5:$A$9</c:f>
              <c:strCache>
                <c:ptCount val="4"/>
                <c:pt idx="0">
                  <c:v>Diesel</c:v>
                </c:pt>
                <c:pt idx="1">
                  <c:v>Electric</c:v>
                </c:pt>
                <c:pt idx="2">
                  <c:v>Hybrid</c:v>
                </c:pt>
                <c:pt idx="3">
                  <c:v>Petrol</c:v>
                </c:pt>
              </c:strCache>
            </c:strRef>
          </c:cat>
          <c:val>
            <c:numRef>
              <c:f>'Engine type VS Stutus'!$C$5:$C$9</c:f>
              <c:numCache>
                <c:formatCode>General</c:formatCode>
                <c:ptCount val="4"/>
                <c:pt idx="0">
                  <c:v>437</c:v>
                </c:pt>
                <c:pt idx="1">
                  <c:v>380</c:v>
                </c:pt>
                <c:pt idx="2">
                  <c:v>415</c:v>
                </c:pt>
                <c:pt idx="3">
                  <c:v>386</c:v>
                </c:pt>
              </c:numCache>
            </c:numRef>
          </c:val>
          <c:extLst>
            <c:ext xmlns:c16="http://schemas.microsoft.com/office/drawing/2014/chart" uri="{C3380CC4-5D6E-409C-BE32-E72D297353CC}">
              <c16:uniqueId val="{00000000-6C0F-4331-BA4E-500289291F77}"/>
            </c:ext>
          </c:extLst>
        </c:ser>
        <c:ser>
          <c:idx val="2"/>
          <c:order val="2"/>
          <c:tx>
            <c:strRef>
              <c:f>'Engine type VS Stutus'!$D$3:$D$4</c:f>
              <c:strCache>
                <c:ptCount val="1"/>
                <c:pt idx="0">
                  <c:v>Sold</c:v>
                </c:pt>
              </c:strCache>
            </c:strRef>
          </c:tx>
          <c:spPr>
            <a:gradFill>
              <a:gsLst>
                <a:gs pos="100000">
                  <a:schemeClr val="accent3">
                    <a:alpha val="0"/>
                  </a:schemeClr>
                </a:gs>
                <a:gs pos="50000">
                  <a:schemeClr val="accent3"/>
                </a:gs>
              </a:gsLst>
              <a:lin ang="5400000" scaled="0"/>
            </a:gradFill>
            <a:ln>
              <a:noFill/>
            </a:ln>
            <a:effectLst/>
            <a:sp3d/>
          </c:spPr>
          <c:invertIfNegative val="0"/>
          <c:cat>
            <c:strRef>
              <c:f>'Engine type VS Stutus'!$A$5:$A$9</c:f>
              <c:strCache>
                <c:ptCount val="4"/>
                <c:pt idx="0">
                  <c:v>Diesel</c:v>
                </c:pt>
                <c:pt idx="1">
                  <c:v>Electric</c:v>
                </c:pt>
                <c:pt idx="2">
                  <c:v>Hybrid</c:v>
                </c:pt>
                <c:pt idx="3">
                  <c:v>Petrol</c:v>
                </c:pt>
              </c:strCache>
            </c:strRef>
          </c:cat>
          <c:val>
            <c:numRef>
              <c:f>'Engine type VS Stutus'!$D$5:$D$9</c:f>
              <c:numCache>
                <c:formatCode>General</c:formatCode>
                <c:ptCount val="4"/>
                <c:pt idx="0">
                  <c:v>419</c:v>
                </c:pt>
                <c:pt idx="1">
                  <c:v>448</c:v>
                </c:pt>
                <c:pt idx="2">
                  <c:v>332</c:v>
                </c:pt>
                <c:pt idx="3">
                  <c:v>351</c:v>
                </c:pt>
              </c:numCache>
            </c:numRef>
          </c:val>
          <c:extLst>
            <c:ext xmlns:c16="http://schemas.microsoft.com/office/drawing/2014/chart" uri="{C3380CC4-5D6E-409C-BE32-E72D297353CC}">
              <c16:uniqueId val="{00000001-6C0F-4331-BA4E-500289291F77}"/>
            </c:ext>
          </c:extLst>
        </c:ser>
        <c:dLbls>
          <c:showLegendKey val="0"/>
          <c:showVal val="0"/>
          <c:showCatName val="0"/>
          <c:showSerName val="0"/>
          <c:showPercent val="0"/>
          <c:showBubbleSize val="0"/>
        </c:dLbls>
        <c:gapWidth val="150"/>
        <c:gapDepth val="0"/>
        <c:shape val="box"/>
        <c:axId val="453034655"/>
        <c:axId val="453029375"/>
        <c:axId val="0"/>
      </c:bar3DChart>
      <c:catAx>
        <c:axId val="45303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29375"/>
        <c:crosses val="autoZero"/>
        <c:auto val="1"/>
        <c:lblAlgn val="ctr"/>
        <c:lblOffset val="100"/>
        <c:noMultiLvlLbl val="0"/>
      </c:catAx>
      <c:valAx>
        <c:axId val="45302937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3465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Sheet.xlsx]Price wise analysis!PivotTable9</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Price wise analysis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'Price wise analysis'!$B$3:$B$5</c:f>
              <c:strCache>
                <c:ptCount val="1"/>
                <c:pt idx="0">
                  <c:v>Available - Count of Car_ID</c:v>
                </c:pt>
              </c:strCache>
            </c:strRef>
          </c:tx>
          <c:spPr>
            <a:gradFill>
              <a:gsLst>
                <a:gs pos="100000">
                  <a:schemeClr val="accent1">
                    <a:alpha val="0"/>
                  </a:schemeClr>
                </a:gs>
                <a:gs pos="50000">
                  <a:schemeClr val="accent1"/>
                </a:gs>
              </a:gsLst>
              <a:lin ang="5400000" scaled="0"/>
            </a:gradFill>
            <a:ln>
              <a:noFill/>
            </a:ln>
            <a:effectLst/>
            <a:sp3d/>
          </c:spPr>
          <c:invertIfNegative val="0"/>
          <c:cat>
            <c:strRef>
              <c:f>'Price wise analysis'!$A$6:$A$8</c:f>
              <c:strCache>
                <c:ptCount val="2"/>
                <c:pt idx="0">
                  <c:v>80k-90k</c:v>
                </c:pt>
                <c:pt idx="1">
                  <c:v>90k-1L</c:v>
                </c:pt>
              </c:strCache>
            </c:strRef>
          </c:cat>
          <c:val>
            <c:numRef>
              <c:f>'Price wise analysis'!$B$6:$B$8</c:f>
              <c:numCache>
                <c:formatCode>General</c:formatCode>
                <c:ptCount val="2"/>
                <c:pt idx="0">
                  <c:v>152</c:v>
                </c:pt>
                <c:pt idx="1">
                  <c:v>27</c:v>
                </c:pt>
              </c:numCache>
            </c:numRef>
          </c:val>
          <c:extLst>
            <c:ext xmlns:c16="http://schemas.microsoft.com/office/drawing/2014/chart" uri="{C3380CC4-5D6E-409C-BE32-E72D297353CC}">
              <c16:uniqueId val="{00000009-184D-4221-AF47-21C3F7E72E9E}"/>
            </c:ext>
          </c:extLst>
        </c:ser>
        <c:ser>
          <c:idx val="1"/>
          <c:order val="1"/>
          <c:tx>
            <c:strRef>
              <c:f>'Price wise analysis'!$C$3:$C$5</c:f>
              <c:strCache>
                <c:ptCount val="1"/>
                <c:pt idx="0">
                  <c:v>Available - Sum of Brand_Revenue</c:v>
                </c:pt>
              </c:strCache>
            </c:strRef>
          </c:tx>
          <c:spPr>
            <a:gradFill>
              <a:gsLst>
                <a:gs pos="100000">
                  <a:schemeClr val="accent2">
                    <a:alpha val="0"/>
                  </a:schemeClr>
                </a:gs>
                <a:gs pos="50000">
                  <a:schemeClr val="accent2"/>
                </a:gs>
              </a:gsLst>
              <a:lin ang="5400000" scaled="0"/>
            </a:gradFill>
            <a:ln>
              <a:noFill/>
            </a:ln>
            <a:effectLst/>
            <a:sp3d/>
          </c:spPr>
          <c:invertIfNegative val="0"/>
          <c:cat>
            <c:strRef>
              <c:f>'Price wise analysis'!$A$6:$A$8</c:f>
              <c:strCache>
                <c:ptCount val="2"/>
                <c:pt idx="0">
                  <c:v>80k-90k</c:v>
                </c:pt>
                <c:pt idx="1">
                  <c:v>90k-1L</c:v>
                </c:pt>
              </c:strCache>
            </c:strRef>
          </c:cat>
          <c:val>
            <c:numRef>
              <c:f>'Price wise analysis'!$C$6:$C$8</c:f>
              <c:numCache>
                <c:formatCode>"₹"\ #,##0</c:formatCode>
                <c:ptCount val="2"/>
                <c:pt idx="0">
                  <c:v>87029670.070000052</c:v>
                </c:pt>
                <c:pt idx="1">
                  <c:v>23439099.780000001</c:v>
                </c:pt>
              </c:numCache>
            </c:numRef>
          </c:val>
          <c:extLst>
            <c:ext xmlns:c16="http://schemas.microsoft.com/office/drawing/2014/chart" uri="{C3380CC4-5D6E-409C-BE32-E72D297353CC}">
              <c16:uniqueId val="{0000000A-184D-4221-AF47-21C3F7E72E9E}"/>
            </c:ext>
          </c:extLst>
        </c:ser>
        <c:ser>
          <c:idx val="2"/>
          <c:order val="2"/>
          <c:tx>
            <c:strRef>
              <c:f>'Price wise analysis'!$D$3:$D$5</c:f>
              <c:strCache>
                <c:ptCount val="1"/>
                <c:pt idx="0">
                  <c:v>Reserved - Count of Car_ID</c:v>
                </c:pt>
              </c:strCache>
            </c:strRef>
          </c:tx>
          <c:spPr>
            <a:gradFill>
              <a:gsLst>
                <a:gs pos="100000">
                  <a:schemeClr val="accent3">
                    <a:alpha val="0"/>
                  </a:schemeClr>
                </a:gs>
                <a:gs pos="50000">
                  <a:schemeClr val="accent3"/>
                </a:gs>
              </a:gsLst>
              <a:lin ang="5400000" scaled="0"/>
            </a:gradFill>
            <a:ln>
              <a:noFill/>
            </a:ln>
            <a:effectLst/>
            <a:sp3d/>
          </c:spPr>
          <c:invertIfNegative val="0"/>
          <c:cat>
            <c:strRef>
              <c:f>'Price wise analysis'!$A$6:$A$8</c:f>
              <c:strCache>
                <c:ptCount val="2"/>
                <c:pt idx="0">
                  <c:v>80k-90k</c:v>
                </c:pt>
                <c:pt idx="1">
                  <c:v>90k-1L</c:v>
                </c:pt>
              </c:strCache>
            </c:strRef>
          </c:cat>
          <c:val>
            <c:numRef>
              <c:f>'Price wise analysis'!$D$6:$D$8</c:f>
              <c:numCache>
                <c:formatCode>General</c:formatCode>
                <c:ptCount val="2"/>
                <c:pt idx="0">
                  <c:v>130</c:v>
                </c:pt>
                <c:pt idx="1">
                  <c:v>27</c:v>
                </c:pt>
              </c:numCache>
            </c:numRef>
          </c:val>
          <c:extLst>
            <c:ext xmlns:c16="http://schemas.microsoft.com/office/drawing/2014/chart" uri="{C3380CC4-5D6E-409C-BE32-E72D297353CC}">
              <c16:uniqueId val="{00000000-A573-462C-9DF4-ED12EE516B0F}"/>
            </c:ext>
          </c:extLst>
        </c:ser>
        <c:ser>
          <c:idx val="3"/>
          <c:order val="3"/>
          <c:tx>
            <c:strRef>
              <c:f>'Price wise analysis'!$E$3:$E$5</c:f>
              <c:strCache>
                <c:ptCount val="1"/>
                <c:pt idx="0">
                  <c:v>Reserved - Sum of Brand_Revenue</c:v>
                </c:pt>
              </c:strCache>
            </c:strRef>
          </c:tx>
          <c:spPr>
            <a:gradFill>
              <a:gsLst>
                <a:gs pos="100000">
                  <a:schemeClr val="accent4">
                    <a:alpha val="0"/>
                  </a:schemeClr>
                </a:gs>
                <a:gs pos="50000">
                  <a:schemeClr val="accent4"/>
                </a:gs>
              </a:gsLst>
              <a:lin ang="5400000" scaled="0"/>
            </a:gradFill>
            <a:ln>
              <a:noFill/>
            </a:ln>
            <a:effectLst/>
            <a:sp3d/>
          </c:spPr>
          <c:invertIfNegative val="0"/>
          <c:cat>
            <c:strRef>
              <c:f>'Price wise analysis'!$A$6:$A$8</c:f>
              <c:strCache>
                <c:ptCount val="2"/>
                <c:pt idx="0">
                  <c:v>80k-90k</c:v>
                </c:pt>
                <c:pt idx="1">
                  <c:v>90k-1L</c:v>
                </c:pt>
              </c:strCache>
            </c:strRef>
          </c:cat>
          <c:val>
            <c:numRef>
              <c:f>'Price wise analysis'!$E$6:$E$8</c:f>
              <c:numCache>
                <c:formatCode>"₹"\ #,##0</c:formatCode>
                <c:ptCount val="2"/>
                <c:pt idx="0">
                  <c:v>66386137.650000006</c:v>
                </c:pt>
                <c:pt idx="1">
                  <c:v>22455543.530000001</c:v>
                </c:pt>
              </c:numCache>
            </c:numRef>
          </c:val>
          <c:extLst>
            <c:ext xmlns:c16="http://schemas.microsoft.com/office/drawing/2014/chart" uri="{C3380CC4-5D6E-409C-BE32-E72D297353CC}">
              <c16:uniqueId val="{00000001-A573-462C-9DF4-ED12EE516B0F}"/>
            </c:ext>
          </c:extLst>
        </c:ser>
        <c:ser>
          <c:idx val="4"/>
          <c:order val="4"/>
          <c:tx>
            <c:strRef>
              <c:f>'Price wise analysis'!$F$3:$F$5</c:f>
              <c:strCache>
                <c:ptCount val="1"/>
                <c:pt idx="0">
                  <c:v>Sold - Count of Car_ID</c:v>
                </c:pt>
              </c:strCache>
            </c:strRef>
          </c:tx>
          <c:spPr>
            <a:gradFill>
              <a:gsLst>
                <a:gs pos="100000">
                  <a:schemeClr val="accent5">
                    <a:alpha val="0"/>
                  </a:schemeClr>
                </a:gs>
                <a:gs pos="50000">
                  <a:schemeClr val="accent5"/>
                </a:gs>
              </a:gsLst>
              <a:lin ang="5400000" scaled="0"/>
            </a:gradFill>
            <a:ln>
              <a:noFill/>
            </a:ln>
            <a:effectLst/>
            <a:sp3d/>
          </c:spPr>
          <c:invertIfNegative val="0"/>
          <c:cat>
            <c:strRef>
              <c:f>'Price wise analysis'!$A$6:$A$8</c:f>
              <c:strCache>
                <c:ptCount val="2"/>
                <c:pt idx="0">
                  <c:v>80k-90k</c:v>
                </c:pt>
                <c:pt idx="1">
                  <c:v>90k-1L</c:v>
                </c:pt>
              </c:strCache>
            </c:strRef>
          </c:cat>
          <c:val>
            <c:numRef>
              <c:f>'Price wise analysis'!$F$6:$F$8</c:f>
              <c:numCache>
                <c:formatCode>General</c:formatCode>
                <c:ptCount val="2"/>
                <c:pt idx="0">
                  <c:v>138</c:v>
                </c:pt>
                <c:pt idx="1">
                  <c:v>27</c:v>
                </c:pt>
              </c:numCache>
            </c:numRef>
          </c:val>
          <c:extLst>
            <c:ext xmlns:c16="http://schemas.microsoft.com/office/drawing/2014/chart" uri="{C3380CC4-5D6E-409C-BE32-E72D297353CC}">
              <c16:uniqueId val="{00000002-A573-462C-9DF4-ED12EE516B0F}"/>
            </c:ext>
          </c:extLst>
        </c:ser>
        <c:ser>
          <c:idx val="5"/>
          <c:order val="5"/>
          <c:tx>
            <c:strRef>
              <c:f>'Price wise analysis'!$G$3:$G$5</c:f>
              <c:strCache>
                <c:ptCount val="1"/>
                <c:pt idx="0">
                  <c:v>Sold - Sum of Brand_Revenue</c:v>
                </c:pt>
              </c:strCache>
            </c:strRef>
          </c:tx>
          <c:spPr>
            <a:gradFill>
              <a:gsLst>
                <a:gs pos="100000">
                  <a:schemeClr val="accent6">
                    <a:alpha val="0"/>
                  </a:schemeClr>
                </a:gs>
                <a:gs pos="50000">
                  <a:schemeClr val="accent6"/>
                </a:gs>
              </a:gsLst>
              <a:lin ang="5400000" scaled="0"/>
            </a:gradFill>
            <a:ln>
              <a:noFill/>
            </a:ln>
            <a:effectLst/>
            <a:sp3d/>
          </c:spPr>
          <c:invertIfNegative val="0"/>
          <c:cat>
            <c:strRef>
              <c:f>'Price wise analysis'!$A$6:$A$8</c:f>
              <c:strCache>
                <c:ptCount val="2"/>
                <c:pt idx="0">
                  <c:v>80k-90k</c:v>
                </c:pt>
                <c:pt idx="1">
                  <c:v>90k-1L</c:v>
                </c:pt>
              </c:strCache>
            </c:strRef>
          </c:cat>
          <c:val>
            <c:numRef>
              <c:f>'Price wise analysis'!$G$6:$G$8</c:f>
              <c:numCache>
                <c:formatCode>"₹"\ #,##0</c:formatCode>
                <c:ptCount val="2"/>
                <c:pt idx="0">
                  <c:v>71284278.529999986</c:v>
                </c:pt>
                <c:pt idx="1">
                  <c:v>22839081.949999999</c:v>
                </c:pt>
              </c:numCache>
            </c:numRef>
          </c:val>
          <c:extLst>
            <c:ext xmlns:c16="http://schemas.microsoft.com/office/drawing/2014/chart" uri="{C3380CC4-5D6E-409C-BE32-E72D297353CC}">
              <c16:uniqueId val="{00000003-A573-462C-9DF4-ED12EE516B0F}"/>
            </c:ext>
          </c:extLst>
        </c:ser>
        <c:dLbls>
          <c:showLegendKey val="0"/>
          <c:showVal val="0"/>
          <c:showCatName val="0"/>
          <c:showSerName val="0"/>
          <c:showPercent val="0"/>
          <c:showBubbleSize val="0"/>
        </c:dLbls>
        <c:gapWidth val="150"/>
        <c:gapDepth val="0"/>
        <c:shape val="box"/>
        <c:axId val="453043295"/>
        <c:axId val="453035615"/>
        <c:axId val="0"/>
      </c:bar3DChart>
      <c:catAx>
        <c:axId val="453043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35615"/>
        <c:crosses val="autoZero"/>
        <c:auto val="1"/>
        <c:lblAlgn val="ctr"/>
        <c:lblOffset val="100"/>
        <c:noMultiLvlLbl val="0"/>
      </c:catAx>
      <c:valAx>
        <c:axId val="45303561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4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Sheet.xlsx]Colour in brand!PivotTable1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Colour in Brand</a:t>
            </a:r>
          </a:p>
        </c:rich>
      </c:tx>
      <c:layout>
        <c:manualLayout>
          <c:xMode val="edge"/>
          <c:yMode val="edge"/>
          <c:x val="0.36365966754155732"/>
          <c:y val="7.20326625838436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462685914260718"/>
          <c:y val="0.19928696412948382"/>
          <c:w val="0.45154746281714786"/>
          <c:h val="0.75257910469524647"/>
        </c:manualLayout>
      </c:layout>
      <c:pieChart>
        <c:varyColors val="1"/>
        <c:ser>
          <c:idx val="0"/>
          <c:order val="0"/>
          <c:tx>
            <c:strRef>
              <c:f>'Colour in brand'!$A$4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522-40F0-9348-07EC1E48A06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22-40F0-9348-07EC1E48A06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522-40F0-9348-07EC1E48A06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522-40F0-9348-07EC1E48A06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522-40F0-9348-07EC1E48A06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522-40F0-9348-07EC1E48A0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'Colour in brand'!$A$5</c:f>
              <c:strCache>
                <c:ptCount val="1"/>
                <c:pt idx="0">
                  <c:v>Total</c:v>
                </c:pt>
              </c:strCache>
            </c:strRef>
          </c:cat>
          <c:val>
            <c:numRef>
              <c:f>'Colour in brand'!$A$5</c:f>
              <c:numCache>
                <c:formatCode>General</c:formatCode>
                <c:ptCount val="1"/>
                <c:pt idx="0">
                  <c:v>501</c:v>
                </c:pt>
              </c:numCache>
            </c:numRef>
          </c:val>
          <c:extLst>
            <c:ext xmlns:c16="http://schemas.microsoft.com/office/drawing/2014/chart" uri="{C3380CC4-5D6E-409C-BE32-E72D297353CC}">
              <c16:uniqueId val="{0000000E-E627-436E-A016-58F74F6FBE6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Sheet.xlsx]Colour in brand!PivotTable1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Colour in Brand</a:t>
            </a:r>
          </a:p>
        </c:rich>
      </c:tx>
      <c:layout>
        <c:manualLayout>
          <c:xMode val="edge"/>
          <c:yMode val="edge"/>
          <c:x val="0.36365966754155732"/>
          <c:y val="7.20326625838436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462685914260718"/>
          <c:y val="0.19928696412948382"/>
          <c:w val="0.45154746281714786"/>
          <c:h val="0.75257910469524647"/>
        </c:manualLayout>
      </c:layout>
      <c:pieChart>
        <c:varyColors val="1"/>
        <c:ser>
          <c:idx val="0"/>
          <c:order val="0"/>
          <c:tx>
            <c:strRef>
              <c:f>'Colour in brand'!$A$4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03-4EB0-B731-B928C2626F3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03-4EB0-B731-B928C2626F3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F03-4EB0-B731-B928C2626F3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F03-4EB0-B731-B928C2626F3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F03-4EB0-B731-B928C2626F3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F03-4EB0-B731-B928C2626F3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'Colour in brand'!$A$5</c:f>
              <c:strCache>
                <c:ptCount val="1"/>
                <c:pt idx="0">
                  <c:v>Total</c:v>
                </c:pt>
              </c:strCache>
            </c:strRef>
          </c:cat>
          <c:val>
            <c:numRef>
              <c:f>'Colour in brand'!$A$5</c:f>
              <c:numCache>
                <c:formatCode>General</c:formatCode>
                <c:ptCount val="1"/>
                <c:pt idx="0">
                  <c:v>501</c:v>
                </c:pt>
              </c:numCache>
            </c:numRef>
          </c:val>
          <c:extLst>
            <c:ext xmlns:c16="http://schemas.microsoft.com/office/drawing/2014/chart" uri="{C3380CC4-5D6E-409C-BE32-E72D297353CC}">
              <c16:uniqueId val="{0000000F-1169-483E-8B88-8CCC81D04B0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Sheet.xlsx]Price wise analysis!PivotTable9</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Price wise analysis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68181223049253"/>
          <c:y val="0.14653666794785286"/>
          <c:w val="0.56643817309624145"/>
          <c:h val="0.7335716115715899"/>
        </c:manualLayout>
      </c:layout>
      <c:bar3DChart>
        <c:barDir val="col"/>
        <c:grouping val="clustered"/>
        <c:varyColors val="0"/>
        <c:ser>
          <c:idx val="0"/>
          <c:order val="0"/>
          <c:tx>
            <c:strRef>
              <c:f>'Price wise analysis'!$B$3:$B$5</c:f>
              <c:strCache>
                <c:ptCount val="1"/>
                <c:pt idx="0">
                  <c:v>Available - Count of Car_ID</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'Price wise analysis'!$A$6:$A$8</c:f>
              <c:strCache>
                <c:ptCount val="2"/>
                <c:pt idx="0">
                  <c:v>80k-90k</c:v>
                </c:pt>
                <c:pt idx="1">
                  <c:v>90k-1L</c:v>
                </c:pt>
              </c:strCache>
            </c:strRef>
          </c:cat>
          <c:val>
            <c:numRef>
              <c:f>'Price wise analysis'!$B$6:$B$8</c:f>
              <c:numCache>
                <c:formatCode>General</c:formatCode>
                <c:ptCount val="2"/>
                <c:pt idx="0">
                  <c:v>152</c:v>
                </c:pt>
                <c:pt idx="1">
                  <c:v>27</c:v>
                </c:pt>
              </c:numCache>
            </c:numRef>
          </c:val>
          <c:extLst>
            <c:ext xmlns:c16="http://schemas.microsoft.com/office/drawing/2014/chart" uri="{C3380CC4-5D6E-409C-BE32-E72D297353CC}">
              <c16:uniqueId val="{00000009-16B0-443A-B5F5-F0E9B0B3C1D7}"/>
            </c:ext>
          </c:extLst>
        </c:ser>
        <c:ser>
          <c:idx val="1"/>
          <c:order val="1"/>
          <c:tx>
            <c:strRef>
              <c:f>'Price wise analysis'!$C$3:$C$5</c:f>
              <c:strCache>
                <c:ptCount val="1"/>
                <c:pt idx="0">
                  <c:v>Available - Sum of Brand_Revenue</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'Price wise analysis'!$A$6:$A$8</c:f>
              <c:strCache>
                <c:ptCount val="2"/>
                <c:pt idx="0">
                  <c:v>80k-90k</c:v>
                </c:pt>
                <c:pt idx="1">
                  <c:v>90k-1L</c:v>
                </c:pt>
              </c:strCache>
            </c:strRef>
          </c:cat>
          <c:val>
            <c:numRef>
              <c:f>'Price wise analysis'!$C$6:$C$8</c:f>
              <c:numCache>
                <c:formatCode>"₹"\ #,##0</c:formatCode>
                <c:ptCount val="2"/>
                <c:pt idx="0">
                  <c:v>87029670.070000052</c:v>
                </c:pt>
                <c:pt idx="1">
                  <c:v>23439099.780000001</c:v>
                </c:pt>
              </c:numCache>
            </c:numRef>
          </c:val>
          <c:extLst>
            <c:ext xmlns:c16="http://schemas.microsoft.com/office/drawing/2014/chart" uri="{C3380CC4-5D6E-409C-BE32-E72D297353CC}">
              <c16:uniqueId val="{0000000A-16B0-443A-B5F5-F0E9B0B3C1D7}"/>
            </c:ext>
          </c:extLst>
        </c:ser>
        <c:ser>
          <c:idx val="2"/>
          <c:order val="2"/>
          <c:tx>
            <c:strRef>
              <c:f>'Price wise analysis'!$D$3:$D$5</c:f>
              <c:strCache>
                <c:ptCount val="1"/>
                <c:pt idx="0">
                  <c:v>Reserved - Count of Car_ID</c:v>
                </c:pt>
              </c:strCache>
            </c:strRef>
          </c:tx>
          <c:spPr>
            <a:gradFill>
              <a:gsLst>
                <a:gs pos="100000">
                  <a:schemeClr val="accent3">
                    <a:alpha val="0"/>
                  </a:schemeClr>
                </a:gs>
                <a:gs pos="50000">
                  <a:schemeClr val="accent3"/>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'Price wise analysis'!$A$6:$A$8</c:f>
              <c:strCache>
                <c:ptCount val="2"/>
                <c:pt idx="0">
                  <c:v>80k-90k</c:v>
                </c:pt>
                <c:pt idx="1">
                  <c:v>90k-1L</c:v>
                </c:pt>
              </c:strCache>
            </c:strRef>
          </c:cat>
          <c:val>
            <c:numRef>
              <c:f>'Price wise analysis'!$D$6:$D$8</c:f>
              <c:numCache>
                <c:formatCode>General</c:formatCode>
                <c:ptCount val="2"/>
                <c:pt idx="0">
                  <c:v>130</c:v>
                </c:pt>
                <c:pt idx="1">
                  <c:v>27</c:v>
                </c:pt>
              </c:numCache>
            </c:numRef>
          </c:val>
          <c:extLst>
            <c:ext xmlns:c16="http://schemas.microsoft.com/office/drawing/2014/chart" uri="{C3380CC4-5D6E-409C-BE32-E72D297353CC}">
              <c16:uniqueId val="{00000001-4BC0-4934-8E00-F366B4202606}"/>
            </c:ext>
          </c:extLst>
        </c:ser>
        <c:ser>
          <c:idx val="3"/>
          <c:order val="3"/>
          <c:tx>
            <c:strRef>
              <c:f>'Price wise analysis'!$E$3:$E$5</c:f>
              <c:strCache>
                <c:ptCount val="1"/>
                <c:pt idx="0">
                  <c:v>Reserved - Sum of Brand_Revenue</c:v>
                </c:pt>
              </c:strCache>
            </c:strRef>
          </c:tx>
          <c:spPr>
            <a:gradFill>
              <a:gsLst>
                <a:gs pos="100000">
                  <a:schemeClr val="accent4">
                    <a:alpha val="0"/>
                  </a:schemeClr>
                </a:gs>
                <a:gs pos="50000">
                  <a:schemeClr val="accent4"/>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'Price wise analysis'!$A$6:$A$8</c:f>
              <c:strCache>
                <c:ptCount val="2"/>
                <c:pt idx="0">
                  <c:v>80k-90k</c:v>
                </c:pt>
                <c:pt idx="1">
                  <c:v>90k-1L</c:v>
                </c:pt>
              </c:strCache>
            </c:strRef>
          </c:cat>
          <c:val>
            <c:numRef>
              <c:f>'Price wise analysis'!$E$6:$E$8</c:f>
              <c:numCache>
                <c:formatCode>"₹"\ #,##0</c:formatCode>
                <c:ptCount val="2"/>
                <c:pt idx="0">
                  <c:v>66386137.650000006</c:v>
                </c:pt>
                <c:pt idx="1">
                  <c:v>22455543.530000001</c:v>
                </c:pt>
              </c:numCache>
            </c:numRef>
          </c:val>
          <c:extLst>
            <c:ext xmlns:c16="http://schemas.microsoft.com/office/drawing/2014/chart" uri="{C3380CC4-5D6E-409C-BE32-E72D297353CC}">
              <c16:uniqueId val="{00000002-4BC0-4934-8E00-F366B4202606}"/>
            </c:ext>
          </c:extLst>
        </c:ser>
        <c:ser>
          <c:idx val="4"/>
          <c:order val="4"/>
          <c:tx>
            <c:strRef>
              <c:f>'Price wise analysis'!$F$3:$F$5</c:f>
              <c:strCache>
                <c:ptCount val="1"/>
                <c:pt idx="0">
                  <c:v>Sold - Count of Car_ID</c:v>
                </c:pt>
              </c:strCache>
            </c:strRef>
          </c:tx>
          <c:spPr>
            <a:gradFill>
              <a:gsLst>
                <a:gs pos="100000">
                  <a:schemeClr val="accent5">
                    <a:alpha val="0"/>
                  </a:schemeClr>
                </a:gs>
                <a:gs pos="50000">
                  <a:schemeClr val="accent5"/>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'Price wise analysis'!$A$6:$A$8</c:f>
              <c:strCache>
                <c:ptCount val="2"/>
                <c:pt idx="0">
                  <c:v>80k-90k</c:v>
                </c:pt>
                <c:pt idx="1">
                  <c:v>90k-1L</c:v>
                </c:pt>
              </c:strCache>
            </c:strRef>
          </c:cat>
          <c:val>
            <c:numRef>
              <c:f>'Price wise analysis'!$F$6:$F$8</c:f>
              <c:numCache>
                <c:formatCode>General</c:formatCode>
                <c:ptCount val="2"/>
                <c:pt idx="0">
                  <c:v>138</c:v>
                </c:pt>
                <c:pt idx="1">
                  <c:v>27</c:v>
                </c:pt>
              </c:numCache>
            </c:numRef>
          </c:val>
          <c:extLst>
            <c:ext xmlns:c16="http://schemas.microsoft.com/office/drawing/2014/chart" uri="{C3380CC4-5D6E-409C-BE32-E72D297353CC}">
              <c16:uniqueId val="{00000003-4BC0-4934-8E00-F366B4202606}"/>
            </c:ext>
          </c:extLst>
        </c:ser>
        <c:ser>
          <c:idx val="5"/>
          <c:order val="5"/>
          <c:tx>
            <c:strRef>
              <c:f>'Price wise analysis'!$G$3:$G$5</c:f>
              <c:strCache>
                <c:ptCount val="1"/>
                <c:pt idx="0">
                  <c:v>Sold - Sum of Brand_Revenue</c:v>
                </c:pt>
              </c:strCache>
            </c:strRef>
          </c:tx>
          <c:spPr>
            <a:gradFill>
              <a:gsLst>
                <a:gs pos="100000">
                  <a:schemeClr val="accent6">
                    <a:alpha val="0"/>
                  </a:schemeClr>
                </a:gs>
                <a:gs pos="50000">
                  <a:schemeClr val="accent6"/>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'Price wise analysis'!$A$6:$A$8</c:f>
              <c:strCache>
                <c:ptCount val="2"/>
                <c:pt idx="0">
                  <c:v>80k-90k</c:v>
                </c:pt>
                <c:pt idx="1">
                  <c:v>90k-1L</c:v>
                </c:pt>
              </c:strCache>
            </c:strRef>
          </c:cat>
          <c:val>
            <c:numRef>
              <c:f>'Price wise analysis'!$G$6:$G$8</c:f>
              <c:numCache>
                <c:formatCode>"₹"\ #,##0</c:formatCode>
                <c:ptCount val="2"/>
                <c:pt idx="0">
                  <c:v>71284278.529999986</c:v>
                </c:pt>
                <c:pt idx="1">
                  <c:v>22839081.949999999</c:v>
                </c:pt>
              </c:numCache>
            </c:numRef>
          </c:val>
          <c:extLst>
            <c:ext xmlns:c16="http://schemas.microsoft.com/office/drawing/2014/chart" uri="{C3380CC4-5D6E-409C-BE32-E72D297353CC}">
              <c16:uniqueId val="{00000004-4BC0-4934-8E00-F366B4202606}"/>
            </c:ext>
          </c:extLst>
        </c:ser>
        <c:dLbls>
          <c:showLegendKey val="0"/>
          <c:showVal val="1"/>
          <c:showCatName val="0"/>
          <c:showSerName val="0"/>
          <c:showPercent val="0"/>
          <c:showBubbleSize val="0"/>
        </c:dLbls>
        <c:gapWidth val="150"/>
        <c:gapDepth val="0"/>
        <c:shape val="box"/>
        <c:axId val="453043295"/>
        <c:axId val="453035615"/>
        <c:axId val="0"/>
      </c:bar3DChart>
      <c:catAx>
        <c:axId val="453043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35615"/>
        <c:crosses val="autoZero"/>
        <c:auto val="1"/>
        <c:lblAlgn val="ctr"/>
        <c:lblOffset val="100"/>
        <c:noMultiLvlLbl val="0"/>
      </c:catAx>
      <c:valAx>
        <c:axId val="45303561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43295"/>
        <c:crosses val="autoZero"/>
        <c:crossBetween val="between"/>
      </c:valAx>
      <c:spPr>
        <a:noFill/>
        <a:ln>
          <a:noFill/>
        </a:ln>
        <a:effectLst/>
      </c:spPr>
    </c:plotArea>
    <c:legend>
      <c:legendPos val="r"/>
      <c:layout>
        <c:manualLayout>
          <c:xMode val="edge"/>
          <c:yMode val="edge"/>
          <c:x val="0.66878453215658074"/>
          <c:y val="0.12937283589686149"/>
          <c:w val="0.32742280461698653"/>
          <c:h val="0.32356927961097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Sheet.xlsx]Engine type VS Stutus!PivotTable8</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Engin Type WISE</a:t>
            </a:r>
            <a:r>
              <a:rPr lang="en-IN" baseline="0"/>
              <a:t> SALE</a:t>
            </a:r>
            <a:endParaRPr lang="en-IN"/>
          </a:p>
        </c:rich>
      </c:tx>
      <c:layout>
        <c:manualLayout>
          <c:xMode val="edge"/>
          <c:yMode val="edge"/>
          <c:x val="0.39304432202015499"/>
          <c:y val="8.928509591951054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80573018171719"/>
          <c:y val="0.21822419776078686"/>
          <c:w val="0.69479954656935838"/>
          <c:h val="0.50587564291897957"/>
        </c:manualLayout>
      </c:layout>
      <c:bar3DChart>
        <c:barDir val="col"/>
        <c:grouping val="clustered"/>
        <c:varyColors val="0"/>
        <c:ser>
          <c:idx val="0"/>
          <c:order val="0"/>
          <c:tx>
            <c:strRef>
              <c:f>'Engine type VS Stutus'!$B$3:$B$4</c:f>
              <c:strCache>
                <c:ptCount val="1"/>
                <c:pt idx="0">
                  <c:v>Available</c:v>
                </c:pt>
              </c:strCache>
            </c:strRef>
          </c:tx>
          <c:spPr>
            <a:gradFill>
              <a:gsLst>
                <a:gs pos="100000">
                  <a:schemeClr val="accent1">
                    <a:alpha val="0"/>
                  </a:schemeClr>
                </a:gs>
                <a:gs pos="50000">
                  <a:schemeClr val="accent1"/>
                </a:gs>
              </a:gsLst>
              <a:lin ang="5400000" scaled="0"/>
            </a:gradFill>
            <a:ln>
              <a:noFill/>
            </a:ln>
            <a:effectLst/>
            <a:sp3d/>
          </c:spPr>
          <c:invertIfNegative val="0"/>
          <c:cat>
            <c:strRef>
              <c:f>'Engine type VS Stutus'!$A$5:$A$9</c:f>
              <c:strCache>
                <c:ptCount val="4"/>
                <c:pt idx="0">
                  <c:v>Diesel</c:v>
                </c:pt>
                <c:pt idx="1">
                  <c:v>Electric</c:v>
                </c:pt>
                <c:pt idx="2">
                  <c:v>Hybrid</c:v>
                </c:pt>
                <c:pt idx="3">
                  <c:v>Petrol</c:v>
                </c:pt>
              </c:strCache>
            </c:strRef>
          </c:cat>
          <c:val>
            <c:numRef>
              <c:f>'Engine type VS Stutus'!$B$5:$B$9</c:f>
              <c:numCache>
                <c:formatCode>General</c:formatCode>
                <c:ptCount val="4"/>
                <c:pt idx="0">
                  <c:v>485</c:v>
                </c:pt>
                <c:pt idx="1">
                  <c:v>482</c:v>
                </c:pt>
                <c:pt idx="2">
                  <c:v>380</c:v>
                </c:pt>
                <c:pt idx="3">
                  <c:v>477</c:v>
                </c:pt>
              </c:numCache>
            </c:numRef>
          </c:val>
          <c:extLst>
            <c:ext xmlns:c16="http://schemas.microsoft.com/office/drawing/2014/chart" uri="{C3380CC4-5D6E-409C-BE32-E72D297353CC}">
              <c16:uniqueId val="{00000003-CCBA-43D9-9881-902397153E10}"/>
            </c:ext>
          </c:extLst>
        </c:ser>
        <c:ser>
          <c:idx val="1"/>
          <c:order val="1"/>
          <c:tx>
            <c:strRef>
              <c:f>'Engine type VS Stutus'!$C$3:$C$4</c:f>
              <c:strCache>
                <c:ptCount val="1"/>
                <c:pt idx="0">
                  <c:v>Reserved</c:v>
                </c:pt>
              </c:strCache>
            </c:strRef>
          </c:tx>
          <c:spPr>
            <a:gradFill>
              <a:gsLst>
                <a:gs pos="100000">
                  <a:schemeClr val="accent2">
                    <a:alpha val="0"/>
                  </a:schemeClr>
                </a:gs>
                <a:gs pos="50000">
                  <a:schemeClr val="accent2"/>
                </a:gs>
              </a:gsLst>
              <a:lin ang="5400000" scaled="0"/>
            </a:gradFill>
            <a:ln>
              <a:noFill/>
            </a:ln>
            <a:effectLst/>
            <a:sp3d/>
          </c:spPr>
          <c:invertIfNegative val="0"/>
          <c:cat>
            <c:strRef>
              <c:f>'Engine type VS Stutus'!$A$5:$A$9</c:f>
              <c:strCache>
                <c:ptCount val="4"/>
                <c:pt idx="0">
                  <c:v>Diesel</c:v>
                </c:pt>
                <c:pt idx="1">
                  <c:v>Electric</c:v>
                </c:pt>
                <c:pt idx="2">
                  <c:v>Hybrid</c:v>
                </c:pt>
                <c:pt idx="3">
                  <c:v>Petrol</c:v>
                </c:pt>
              </c:strCache>
            </c:strRef>
          </c:cat>
          <c:val>
            <c:numRef>
              <c:f>'Engine type VS Stutus'!$C$5:$C$9</c:f>
              <c:numCache>
                <c:formatCode>General</c:formatCode>
                <c:ptCount val="4"/>
                <c:pt idx="0">
                  <c:v>437</c:v>
                </c:pt>
                <c:pt idx="1">
                  <c:v>380</c:v>
                </c:pt>
                <c:pt idx="2">
                  <c:v>415</c:v>
                </c:pt>
                <c:pt idx="3">
                  <c:v>386</c:v>
                </c:pt>
              </c:numCache>
            </c:numRef>
          </c:val>
          <c:extLst>
            <c:ext xmlns:c16="http://schemas.microsoft.com/office/drawing/2014/chart" uri="{C3380CC4-5D6E-409C-BE32-E72D297353CC}">
              <c16:uniqueId val="{00000001-351C-4987-91FC-84C47C6357A7}"/>
            </c:ext>
          </c:extLst>
        </c:ser>
        <c:ser>
          <c:idx val="2"/>
          <c:order val="2"/>
          <c:tx>
            <c:strRef>
              <c:f>'Engine type VS Stutus'!$D$3:$D$4</c:f>
              <c:strCache>
                <c:ptCount val="1"/>
                <c:pt idx="0">
                  <c:v>Sold</c:v>
                </c:pt>
              </c:strCache>
            </c:strRef>
          </c:tx>
          <c:spPr>
            <a:gradFill>
              <a:gsLst>
                <a:gs pos="100000">
                  <a:schemeClr val="accent3">
                    <a:alpha val="0"/>
                  </a:schemeClr>
                </a:gs>
                <a:gs pos="50000">
                  <a:schemeClr val="accent3"/>
                </a:gs>
              </a:gsLst>
              <a:lin ang="5400000" scaled="0"/>
            </a:gradFill>
            <a:ln>
              <a:noFill/>
            </a:ln>
            <a:effectLst/>
            <a:sp3d/>
          </c:spPr>
          <c:invertIfNegative val="0"/>
          <c:cat>
            <c:strRef>
              <c:f>'Engine type VS Stutus'!$A$5:$A$9</c:f>
              <c:strCache>
                <c:ptCount val="4"/>
                <c:pt idx="0">
                  <c:v>Diesel</c:v>
                </c:pt>
                <c:pt idx="1">
                  <c:v>Electric</c:v>
                </c:pt>
                <c:pt idx="2">
                  <c:v>Hybrid</c:v>
                </c:pt>
                <c:pt idx="3">
                  <c:v>Petrol</c:v>
                </c:pt>
              </c:strCache>
            </c:strRef>
          </c:cat>
          <c:val>
            <c:numRef>
              <c:f>'Engine type VS Stutus'!$D$5:$D$9</c:f>
              <c:numCache>
                <c:formatCode>General</c:formatCode>
                <c:ptCount val="4"/>
                <c:pt idx="0">
                  <c:v>419</c:v>
                </c:pt>
                <c:pt idx="1">
                  <c:v>448</c:v>
                </c:pt>
                <c:pt idx="2">
                  <c:v>332</c:v>
                </c:pt>
                <c:pt idx="3">
                  <c:v>351</c:v>
                </c:pt>
              </c:numCache>
            </c:numRef>
          </c:val>
          <c:extLst>
            <c:ext xmlns:c16="http://schemas.microsoft.com/office/drawing/2014/chart" uri="{C3380CC4-5D6E-409C-BE32-E72D297353CC}">
              <c16:uniqueId val="{00000002-351C-4987-91FC-84C47C6357A7}"/>
            </c:ext>
          </c:extLst>
        </c:ser>
        <c:dLbls>
          <c:showLegendKey val="0"/>
          <c:showVal val="0"/>
          <c:showCatName val="0"/>
          <c:showSerName val="0"/>
          <c:showPercent val="0"/>
          <c:showBubbleSize val="0"/>
        </c:dLbls>
        <c:gapWidth val="150"/>
        <c:gapDepth val="0"/>
        <c:shape val="box"/>
        <c:axId val="453034655"/>
        <c:axId val="453029375"/>
        <c:axId val="0"/>
      </c:bar3DChart>
      <c:catAx>
        <c:axId val="45303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29375"/>
        <c:crosses val="autoZero"/>
        <c:auto val="1"/>
        <c:lblAlgn val="ctr"/>
        <c:lblOffset val="100"/>
        <c:noMultiLvlLbl val="0"/>
      </c:catAx>
      <c:valAx>
        <c:axId val="45302937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3465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Sheet.xlsx]Year wise sale!PivotTable5</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Year wise sale</a:t>
            </a:r>
          </a:p>
        </c:rich>
      </c:tx>
      <c:layout>
        <c:manualLayout>
          <c:xMode val="edge"/>
          <c:yMode val="edge"/>
          <c:x val="0.39190913421781182"/>
          <c:y val="0.1257504102309791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289350466684351E-2"/>
          <c:y val="0.26287694158487485"/>
          <c:w val="0.86762431849705435"/>
          <c:h val="0.5097020949360439"/>
        </c:manualLayout>
      </c:layout>
      <c:bar3DChart>
        <c:barDir val="col"/>
        <c:grouping val="clustered"/>
        <c:varyColors val="0"/>
        <c:ser>
          <c:idx val="0"/>
          <c:order val="0"/>
          <c:tx>
            <c:strRef>
              <c:f>'Year wise sale'!$B$3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 wise sale'!$A$4:$A$15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'Year wise sale'!$B$4:$B$15</c:f>
              <c:numCache>
                <c:formatCode>General</c:formatCode>
                <c:ptCount val="11"/>
                <c:pt idx="0">
                  <c:v>463</c:v>
                </c:pt>
                <c:pt idx="1">
                  <c:v>553</c:v>
                </c:pt>
                <c:pt idx="2">
                  <c:v>404</c:v>
                </c:pt>
                <c:pt idx="3">
                  <c:v>709</c:v>
                </c:pt>
                <c:pt idx="4">
                  <c:v>554</c:v>
                </c:pt>
                <c:pt idx="5">
                  <c:v>321</c:v>
                </c:pt>
                <c:pt idx="6">
                  <c:v>275</c:v>
                </c:pt>
                <c:pt idx="7">
                  <c:v>527</c:v>
                </c:pt>
                <c:pt idx="8">
                  <c:v>413</c:v>
                </c:pt>
                <c:pt idx="9">
                  <c:v>410</c:v>
                </c:pt>
                <c:pt idx="10">
                  <c:v>363</c:v>
                </c:pt>
              </c:numCache>
            </c:numRef>
          </c:val>
          <c:extLst>
            <c:ext xmlns:c16="http://schemas.microsoft.com/office/drawing/2014/chart" uri="{C3380CC4-5D6E-409C-BE32-E72D297353CC}">
              <c16:uniqueId val="{00000003-7400-4F71-BC65-E25210B6A8A5}"/>
            </c:ext>
          </c:extLst>
        </c:ser>
        <c:dLbls>
          <c:showLegendKey val="0"/>
          <c:showVal val="1"/>
          <c:showCatName val="0"/>
          <c:showSerName val="0"/>
          <c:showPercent val="0"/>
          <c:showBubbleSize val="0"/>
        </c:dLbls>
        <c:gapWidth val="150"/>
        <c:shape val="box"/>
        <c:axId val="453088895"/>
        <c:axId val="453032735"/>
        <c:axId val="0"/>
      </c:bar3DChart>
      <c:catAx>
        <c:axId val="453088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32735"/>
        <c:crosses val="autoZero"/>
        <c:auto val="1"/>
        <c:lblAlgn val="ctr"/>
        <c:lblOffset val="100"/>
        <c:noMultiLvlLbl val="0"/>
      </c:catAx>
      <c:valAx>
        <c:axId val="45303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8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Sheet.xlsx]Model wise sale!PivotTable4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Model wise sale</a:t>
            </a:r>
          </a:p>
        </c:rich>
      </c:tx>
      <c:layout>
        <c:manualLayout>
          <c:xMode val="edge"/>
          <c:yMode val="edge"/>
          <c:x val="0.45950959343067399"/>
          <c:y val="6.12261270885498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1433191730799"/>
          <c:y val="0.2247114023009508"/>
          <c:w val="0.81358725480477467"/>
          <c:h val="0.66258569258649491"/>
        </c:manualLayout>
      </c:layout>
      <c:barChart>
        <c:barDir val="bar"/>
        <c:grouping val="clustered"/>
        <c:varyColors val="0"/>
        <c:ser>
          <c:idx val="0"/>
          <c:order val="0"/>
          <c:tx>
            <c:strRef>
              <c:f>'Model wise sale'!$B$3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wise sale'!$A$4:$A$25</c:f>
              <c:strCache>
                <c:ptCount val="21"/>
                <c:pt idx="0">
                  <c:v>3 Series</c:v>
                </c:pt>
                <c:pt idx="1">
                  <c:v>5 Series</c:v>
                </c:pt>
                <c:pt idx="2">
                  <c:v>Altima</c:v>
                </c:pt>
                <c:pt idx="3">
                  <c:v>Camry</c:v>
                </c:pt>
                <c:pt idx="4">
                  <c:v>C-Class</c:v>
                </c:pt>
                <c:pt idx="5">
                  <c:v>Cerato</c:v>
                </c:pt>
                <c:pt idx="6">
                  <c:v>Corolla</c:v>
                </c:pt>
                <c:pt idx="7">
                  <c:v>E-Class</c:v>
                </c:pt>
                <c:pt idx="8">
                  <c:v>Elantra</c:v>
                </c:pt>
                <c:pt idx="9">
                  <c:v>GLA</c:v>
                </c:pt>
                <c:pt idx="10">
                  <c:v>Model 3</c:v>
                </c:pt>
                <c:pt idx="11">
                  <c:v>Model S</c:v>
                </c:pt>
                <c:pt idx="12">
                  <c:v>Model X</c:v>
                </c:pt>
                <c:pt idx="13">
                  <c:v>Qashqai</c:v>
                </c:pt>
                <c:pt idx="14">
                  <c:v>RAV4</c:v>
                </c:pt>
                <c:pt idx="15">
                  <c:v>Seltos</c:v>
                </c:pt>
                <c:pt idx="16">
                  <c:v>Sonata</c:v>
                </c:pt>
                <c:pt idx="17">
                  <c:v>Sportage</c:v>
                </c:pt>
                <c:pt idx="18">
                  <c:v>Sunny</c:v>
                </c:pt>
                <c:pt idx="19">
                  <c:v>Tucson</c:v>
                </c:pt>
                <c:pt idx="20">
                  <c:v>X5</c:v>
                </c:pt>
              </c:strCache>
            </c:strRef>
          </c:cat>
          <c:val>
            <c:numRef>
              <c:f>'Model wise sale'!$B$4:$B$25</c:f>
              <c:numCache>
                <c:formatCode>General</c:formatCode>
                <c:ptCount val="21"/>
                <c:pt idx="0">
                  <c:v>250</c:v>
                </c:pt>
                <c:pt idx="1">
                  <c:v>237</c:v>
                </c:pt>
                <c:pt idx="2">
                  <c:v>161</c:v>
                </c:pt>
                <c:pt idx="3">
                  <c:v>360</c:v>
                </c:pt>
                <c:pt idx="4">
                  <c:v>251</c:v>
                </c:pt>
                <c:pt idx="5">
                  <c:v>246</c:v>
                </c:pt>
                <c:pt idx="6">
                  <c:v>162</c:v>
                </c:pt>
                <c:pt idx="7">
                  <c:v>247</c:v>
                </c:pt>
                <c:pt idx="8">
                  <c:v>169</c:v>
                </c:pt>
                <c:pt idx="9">
                  <c:v>295</c:v>
                </c:pt>
                <c:pt idx="10">
                  <c:v>266</c:v>
                </c:pt>
                <c:pt idx="11">
                  <c:v>235</c:v>
                </c:pt>
                <c:pt idx="12">
                  <c:v>285</c:v>
                </c:pt>
                <c:pt idx="13">
                  <c:v>288</c:v>
                </c:pt>
                <c:pt idx="14">
                  <c:v>177</c:v>
                </c:pt>
                <c:pt idx="15">
                  <c:v>217</c:v>
                </c:pt>
                <c:pt idx="16">
                  <c:v>164</c:v>
                </c:pt>
                <c:pt idx="17">
                  <c:v>210</c:v>
                </c:pt>
                <c:pt idx="18">
                  <c:v>350</c:v>
                </c:pt>
                <c:pt idx="19">
                  <c:v>225</c:v>
                </c:pt>
                <c:pt idx="20">
                  <c:v>197</c:v>
                </c:pt>
              </c:numCache>
            </c:numRef>
          </c:val>
          <c:extLst>
            <c:ext xmlns:c16="http://schemas.microsoft.com/office/drawing/2014/chart" uri="{C3380CC4-5D6E-409C-BE32-E72D297353CC}">
              <c16:uniqueId val="{00000003-5D57-48AF-8983-23767021F664}"/>
            </c:ext>
          </c:extLst>
        </c:ser>
        <c:dLbls>
          <c:dLblPos val="outEnd"/>
          <c:showLegendKey val="0"/>
          <c:showVal val="1"/>
          <c:showCatName val="0"/>
          <c:showSerName val="0"/>
          <c:showPercent val="0"/>
          <c:showBubbleSize val="0"/>
        </c:dLbls>
        <c:gapWidth val="115"/>
        <c:overlap val="-20"/>
        <c:axId val="453040415"/>
        <c:axId val="453038975"/>
      </c:barChart>
      <c:catAx>
        <c:axId val="453040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38975"/>
        <c:crosses val="autoZero"/>
        <c:auto val="1"/>
        <c:lblAlgn val="ctr"/>
        <c:lblOffset val="100"/>
        <c:noMultiLvlLbl val="0"/>
      </c:catAx>
      <c:valAx>
        <c:axId val="45303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4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Sheet.xlsx]Quantity in stock!PivotTable2</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QuANTITY</a:t>
            </a:r>
            <a:r>
              <a:rPr lang="en-US" baseline="0"/>
              <a:t> </a:t>
            </a:r>
            <a:r>
              <a:rPr lang="en-US"/>
              <a:t> in stock</a:t>
            </a:r>
          </a:p>
        </c:rich>
      </c:tx>
      <c:layout>
        <c:manualLayout>
          <c:xMode val="edge"/>
          <c:yMode val="edge"/>
          <c:x val="0.44184084007709501"/>
          <c:y val="6.630042279245715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4691358024691246E-2"/>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6.1728395061727828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1.5432220278020803E-2"/>
              <c:y val="-1.095946340040846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20691163604548"/>
                  <c:h val="7.8938466025080201E-2"/>
                </c:manualLayout>
              </c15:layout>
            </c:ext>
          </c:extLst>
        </c:dLbl>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4.629508117040982E-3"/>
              <c:y val="1.72839506172838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81184990765039"/>
                  <c:h val="8.3876737630018461E-2"/>
                </c:manualLayout>
              </c15:layout>
            </c:ext>
          </c:extLst>
        </c:dLbl>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layout>
            <c:manualLayout>
              <c:x val="-9.2592592592592587E-3"/>
              <c:y val="4.938271604938181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3.0864197530864764E-3"/>
              <c:y val="1.48148148148147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6.1728395061728392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3.0864197530863632E-3"/>
              <c:y val="-2.46913580246913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4691358024691246E-2"/>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1728395061727828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5432220278020803E-2"/>
              <c:y val="-1.095946340040846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20691163604548"/>
                  <c:h val="7.8938466025080201E-2"/>
                </c:manualLayout>
              </c15:layout>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629508117040982E-3"/>
              <c:y val="1.72839506172838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81184990765039"/>
                  <c:h val="8.3876737630018461E-2"/>
                </c:manualLayout>
              </c15:layout>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9.2592592592592587E-3"/>
              <c:y val="4.938271604938181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0864197530864764E-3"/>
              <c:y val="1.48148148148147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1728395061728392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0864197530863632E-3"/>
              <c:y val="-2.46913580246913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4691358024691246E-2"/>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1728395061727828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5432220278020803E-2"/>
              <c:y val="-1.095946340040846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20691163604548"/>
                  <c:h val="7.8938466025080201E-2"/>
                </c:manualLayout>
              </c15:layout>
            </c:ext>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629508117040982E-3"/>
              <c:y val="1.72839506172838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81184990765039"/>
                  <c:h val="8.3876737630018461E-2"/>
                </c:manualLayout>
              </c15:layout>
            </c:ext>
          </c:extLst>
        </c:dLbl>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9.2592592592592587E-3"/>
              <c:y val="4.938271604938181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0864197530864764E-3"/>
              <c:y val="1.48148148148147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1728395061728392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0864197530863632E-3"/>
              <c:y val="-2.46913580246913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3590787033475"/>
          <c:y val="0.19826058184887613"/>
          <c:w val="0.59353905731788204"/>
          <c:h val="0.65698480552748761"/>
        </c:manualLayout>
      </c:layout>
      <c:doughnutChart>
        <c:varyColors val="1"/>
        <c:ser>
          <c:idx val="0"/>
          <c:order val="0"/>
          <c:tx>
            <c:strRef>
              <c:f>'Quantity in stock'!$B$3</c:f>
              <c:strCache>
                <c:ptCount val="1"/>
                <c:pt idx="0">
                  <c:v>Total</c:v>
                </c:pt>
              </c:strCache>
            </c:strRef>
          </c:tx>
          <c:explosion val="9"/>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035-4153-97A4-06E97C6F53E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035-4153-97A4-06E97C6F53E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035-4153-97A4-06E97C6F53E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035-4153-97A4-06E97C6F53E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035-4153-97A4-06E97C6F53E3}"/>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035-4153-97A4-06E97C6F53E3}"/>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0035-4153-97A4-06E97C6F53E3}"/>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0035-4153-97A4-06E97C6F53E3}"/>
              </c:ext>
            </c:extLst>
          </c:dPt>
          <c:dLbls>
            <c:dLbl>
              <c:idx val="0"/>
              <c:layout>
                <c:manualLayout>
                  <c:x val="2.4691358024691246E-2"/>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35-4153-97A4-06E97C6F53E3}"/>
                </c:ext>
              </c:extLst>
            </c:dLbl>
            <c:dLbl>
              <c:idx val="1"/>
              <c:layout>
                <c:manualLayout>
                  <c:x val="6.1728395061727828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35-4153-97A4-06E97C6F53E3}"/>
                </c:ext>
              </c:extLst>
            </c:dLbl>
            <c:dLbl>
              <c:idx val="2"/>
              <c:layout>
                <c:manualLayout>
                  <c:x val="1.5432220278020803E-2"/>
                  <c:y val="-1.095946340040846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20691163604548"/>
                      <c:h val="7.8938466025080201E-2"/>
                    </c:manualLayout>
                  </c15:layout>
                </c:ext>
                <c:ext xmlns:c16="http://schemas.microsoft.com/office/drawing/2014/chart" uri="{C3380CC4-5D6E-409C-BE32-E72D297353CC}">
                  <c16:uniqueId val="{00000005-0035-4153-97A4-06E97C6F53E3}"/>
                </c:ext>
              </c:extLst>
            </c:dLbl>
            <c:dLbl>
              <c:idx val="3"/>
              <c:layout>
                <c:manualLayout>
                  <c:x val="-4.629508117040982E-3"/>
                  <c:y val="1.728395061728385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381184990765039"/>
                      <c:h val="8.3876737630018461E-2"/>
                    </c:manualLayout>
                  </c15:layout>
                </c:ext>
                <c:ext xmlns:c16="http://schemas.microsoft.com/office/drawing/2014/chart" uri="{C3380CC4-5D6E-409C-BE32-E72D297353CC}">
                  <c16:uniqueId val="{00000007-0035-4153-97A4-06E97C6F53E3}"/>
                </c:ext>
              </c:extLst>
            </c:dLbl>
            <c:dLbl>
              <c:idx val="4"/>
              <c:layout>
                <c:manualLayout>
                  <c:x val="-9.2592592592592587E-3"/>
                  <c:y val="4.938271604938181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035-4153-97A4-06E97C6F53E3}"/>
                </c:ext>
              </c:extLst>
            </c:dLbl>
            <c:dLbl>
              <c:idx val="5"/>
              <c:layout>
                <c:manualLayout>
                  <c:x val="-3.0864197530864764E-3"/>
                  <c:y val="1.48148148148147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035-4153-97A4-06E97C6F53E3}"/>
                </c:ext>
              </c:extLst>
            </c:dLbl>
            <c:dLbl>
              <c:idx val="6"/>
              <c:layout>
                <c:manualLayout>
                  <c:x val="-6.1728395061728392E-3"/>
                  <c:y val="-4.93827160493827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035-4153-97A4-06E97C6F53E3}"/>
                </c:ext>
              </c:extLst>
            </c:dLbl>
            <c:dLbl>
              <c:idx val="7"/>
              <c:layout>
                <c:manualLayout>
                  <c:x val="3.0864197530863632E-3"/>
                  <c:y val="-2.46913580246913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035-4153-97A4-06E97C6F53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in stock'!$A$4:$A$12</c:f>
              <c:strCache>
                <c:ptCount val="8"/>
                <c:pt idx="0">
                  <c:v>BMW</c:v>
                </c:pt>
                <c:pt idx="1">
                  <c:v>Hyundai</c:v>
                </c:pt>
                <c:pt idx="2">
                  <c:v>Kia</c:v>
                </c:pt>
                <c:pt idx="3">
                  <c:v>Mercedes</c:v>
                </c:pt>
                <c:pt idx="4">
                  <c:v>Nissan</c:v>
                </c:pt>
                <c:pt idx="5">
                  <c:v>Tesla</c:v>
                </c:pt>
                <c:pt idx="6">
                  <c:v>Toyota</c:v>
                </c:pt>
                <c:pt idx="7">
                  <c:v>Unknown</c:v>
                </c:pt>
              </c:strCache>
            </c:strRef>
          </c:cat>
          <c:val>
            <c:numRef>
              <c:f>'Quantity in stock'!$B$4:$B$12</c:f>
              <c:numCache>
                <c:formatCode>General</c:formatCode>
                <c:ptCount val="8"/>
                <c:pt idx="0">
                  <c:v>670</c:v>
                </c:pt>
                <c:pt idx="1">
                  <c:v>543</c:v>
                </c:pt>
                <c:pt idx="2">
                  <c:v>673</c:v>
                </c:pt>
                <c:pt idx="3">
                  <c:v>793</c:v>
                </c:pt>
                <c:pt idx="4">
                  <c:v>782</c:v>
                </c:pt>
                <c:pt idx="5">
                  <c:v>776</c:v>
                </c:pt>
                <c:pt idx="6">
                  <c:v>699</c:v>
                </c:pt>
                <c:pt idx="7">
                  <c:v>56</c:v>
                </c:pt>
              </c:numCache>
            </c:numRef>
          </c:val>
          <c:extLst>
            <c:ext xmlns:c16="http://schemas.microsoft.com/office/drawing/2014/chart" uri="{C3380CC4-5D6E-409C-BE32-E72D297353CC}">
              <c16:uniqueId val="{00000013-3614-4C90-99FA-0C24544C50A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Sheet.xlsx]Brand wise sold cars!PivotTable3</c:name>
    <c:fmtId val="1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Brand  wise</a:t>
            </a:r>
            <a:r>
              <a:rPr lang="en-IN" baseline="0"/>
              <a:t> sold</a:t>
            </a:r>
            <a:r>
              <a:rPr lang="en-IN"/>
              <a:t> revenue</a:t>
            </a:r>
          </a:p>
        </c:rich>
      </c:tx>
      <c:layout>
        <c:manualLayout>
          <c:xMode val="edge"/>
          <c:yMode val="edge"/>
          <c:x val="0.42890322593976471"/>
          <c:y val="7.471655679696284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'Brand wise sold cars'!$B$3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'Brand wise sold cars'!$A$4:$A$12</c:f>
              <c:strCache>
                <c:ptCount val="8"/>
                <c:pt idx="0">
                  <c:v>BMW</c:v>
                </c:pt>
                <c:pt idx="1">
                  <c:v>Hyundai</c:v>
                </c:pt>
                <c:pt idx="2">
                  <c:v>Kia</c:v>
                </c:pt>
                <c:pt idx="3">
                  <c:v>Mercedes</c:v>
                </c:pt>
                <c:pt idx="4">
                  <c:v>Nissan</c:v>
                </c:pt>
                <c:pt idx="5">
                  <c:v>Tesla</c:v>
                </c:pt>
                <c:pt idx="6">
                  <c:v>Toyota</c:v>
                </c:pt>
                <c:pt idx="7">
                  <c:v>Unknown</c:v>
                </c:pt>
              </c:strCache>
            </c:strRef>
          </c:cat>
          <c:val>
            <c:numRef>
              <c:f>'Brand wise sold cars'!$B$4:$B$12</c:f>
              <c:numCache>
                <c:formatCode>_ [$₹-4009]\ * #,##0_ ;_ [$₹-4009]\ * \-#,##0_ ;_ [$₹-4009]\ * "-"??_ ;_ @_ </c:formatCode>
                <c:ptCount val="8"/>
                <c:pt idx="0">
                  <c:v>39708628.700000003</c:v>
                </c:pt>
                <c:pt idx="1">
                  <c:v>32201446.48</c:v>
                </c:pt>
                <c:pt idx="2">
                  <c:v>41486984.19000002</c:v>
                </c:pt>
                <c:pt idx="3">
                  <c:v>49834158.530000001</c:v>
                </c:pt>
                <c:pt idx="4">
                  <c:v>45239722.919999994</c:v>
                </c:pt>
                <c:pt idx="5">
                  <c:v>42021554.959999986</c:v>
                </c:pt>
                <c:pt idx="6">
                  <c:v>39587332.460000008</c:v>
                </c:pt>
                <c:pt idx="7">
                  <c:v>3353983.27</c:v>
                </c:pt>
              </c:numCache>
            </c:numRef>
          </c:val>
          <c:extLst>
            <c:ext xmlns:c16="http://schemas.microsoft.com/office/drawing/2014/chart" uri="{C3380CC4-5D6E-409C-BE32-E72D297353CC}">
              <c16:uniqueId val="{00000000-843B-45B5-9A1F-B8E8580CE6F4}"/>
            </c:ext>
          </c:extLst>
        </c:ser>
        <c:dLbls>
          <c:showLegendKey val="0"/>
          <c:showVal val="0"/>
          <c:showCatName val="0"/>
          <c:showSerName val="0"/>
          <c:showPercent val="0"/>
          <c:showBubbleSize val="0"/>
        </c:dLbls>
        <c:gapWidth val="150"/>
        <c:overlap val="100"/>
        <c:axId val="453082175"/>
        <c:axId val="453082655"/>
      </c:barChart>
      <c:catAx>
        <c:axId val="45308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3082655"/>
        <c:crosses val="autoZero"/>
        <c:auto val="1"/>
        <c:lblAlgn val="ctr"/>
        <c:lblOffset val="100"/>
        <c:noMultiLvlLbl val="0"/>
      </c:catAx>
      <c:valAx>
        <c:axId val="453082655"/>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308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Sheet.xlsx]Brand VS Status!PivotTable1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Brand</a:t>
            </a:r>
            <a:r>
              <a:rPr lang="en-IN" baseline="0"/>
              <a:t> VS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 VS Status'!$B$3:$B$4</c:f>
              <c:strCache>
                <c:ptCount val="1"/>
                <c:pt idx="0">
                  <c:v>Available</c:v>
                </c:pt>
              </c:strCache>
            </c:strRef>
          </c:tx>
          <c:spPr>
            <a:solidFill>
              <a:schemeClr val="accent1"/>
            </a:solidFill>
            <a:ln>
              <a:noFill/>
            </a:ln>
            <a:effectLst/>
          </c:spPr>
          <c:invertIfNegative val="0"/>
          <c:cat>
            <c:strRef>
              <c:f>'Brand VS Status'!$A$5:$A$13</c:f>
              <c:strCache>
                <c:ptCount val="8"/>
                <c:pt idx="0">
                  <c:v>BMW</c:v>
                </c:pt>
                <c:pt idx="1">
                  <c:v>Hyundai</c:v>
                </c:pt>
                <c:pt idx="2">
                  <c:v>Kia</c:v>
                </c:pt>
                <c:pt idx="3">
                  <c:v>Mercedes</c:v>
                </c:pt>
                <c:pt idx="4">
                  <c:v>Nissan</c:v>
                </c:pt>
                <c:pt idx="5">
                  <c:v>Tesla</c:v>
                </c:pt>
                <c:pt idx="6">
                  <c:v>Toyota</c:v>
                </c:pt>
                <c:pt idx="7">
                  <c:v>Unknown</c:v>
                </c:pt>
              </c:strCache>
            </c:strRef>
          </c:cat>
          <c:val>
            <c:numRef>
              <c:f>'Brand VS Status'!$B$5:$B$13</c:f>
              <c:numCache>
                <c:formatCode>General</c:formatCode>
                <c:ptCount val="8"/>
                <c:pt idx="0">
                  <c:v>22</c:v>
                </c:pt>
                <c:pt idx="1">
                  <c:v>21</c:v>
                </c:pt>
                <c:pt idx="2">
                  <c:v>22</c:v>
                </c:pt>
                <c:pt idx="3">
                  <c:v>29</c:v>
                </c:pt>
                <c:pt idx="4">
                  <c:v>33</c:v>
                </c:pt>
                <c:pt idx="5">
                  <c:v>25</c:v>
                </c:pt>
                <c:pt idx="6">
                  <c:v>25</c:v>
                </c:pt>
                <c:pt idx="7">
                  <c:v>2</c:v>
                </c:pt>
              </c:numCache>
            </c:numRef>
          </c:val>
          <c:extLst>
            <c:ext xmlns:c16="http://schemas.microsoft.com/office/drawing/2014/chart" uri="{C3380CC4-5D6E-409C-BE32-E72D297353CC}">
              <c16:uniqueId val="{00000003-1D34-44D1-935A-126812E18025}"/>
            </c:ext>
          </c:extLst>
        </c:ser>
        <c:ser>
          <c:idx val="1"/>
          <c:order val="1"/>
          <c:tx>
            <c:strRef>
              <c:f>'Brand VS Status'!$C$3:$C$4</c:f>
              <c:strCache>
                <c:ptCount val="1"/>
                <c:pt idx="0">
                  <c:v>Reserved</c:v>
                </c:pt>
              </c:strCache>
            </c:strRef>
          </c:tx>
          <c:spPr>
            <a:solidFill>
              <a:schemeClr val="accent2"/>
            </a:solidFill>
            <a:ln>
              <a:noFill/>
            </a:ln>
            <a:effectLst/>
          </c:spPr>
          <c:invertIfNegative val="0"/>
          <c:cat>
            <c:strRef>
              <c:f>'Brand VS Status'!$A$5:$A$13</c:f>
              <c:strCache>
                <c:ptCount val="8"/>
                <c:pt idx="0">
                  <c:v>BMW</c:v>
                </c:pt>
                <c:pt idx="1">
                  <c:v>Hyundai</c:v>
                </c:pt>
                <c:pt idx="2">
                  <c:v>Kia</c:v>
                </c:pt>
                <c:pt idx="3">
                  <c:v>Mercedes</c:v>
                </c:pt>
                <c:pt idx="4">
                  <c:v>Nissan</c:v>
                </c:pt>
                <c:pt idx="5">
                  <c:v>Tesla</c:v>
                </c:pt>
                <c:pt idx="6">
                  <c:v>Toyota</c:v>
                </c:pt>
                <c:pt idx="7">
                  <c:v>Unknown</c:v>
                </c:pt>
              </c:strCache>
            </c:strRef>
          </c:cat>
          <c:val>
            <c:numRef>
              <c:f>'Brand VS Status'!$C$5:$C$13</c:f>
              <c:numCache>
                <c:formatCode>General</c:formatCode>
                <c:ptCount val="8"/>
                <c:pt idx="0">
                  <c:v>19</c:v>
                </c:pt>
                <c:pt idx="1">
                  <c:v>19</c:v>
                </c:pt>
                <c:pt idx="2">
                  <c:v>17</c:v>
                </c:pt>
                <c:pt idx="3">
                  <c:v>27</c:v>
                </c:pt>
                <c:pt idx="4">
                  <c:v>22</c:v>
                </c:pt>
                <c:pt idx="5">
                  <c:v>31</c:v>
                </c:pt>
                <c:pt idx="6">
                  <c:v>21</c:v>
                </c:pt>
                <c:pt idx="7">
                  <c:v>1</c:v>
                </c:pt>
              </c:numCache>
            </c:numRef>
          </c:val>
          <c:extLst>
            <c:ext xmlns:c16="http://schemas.microsoft.com/office/drawing/2014/chart" uri="{C3380CC4-5D6E-409C-BE32-E72D297353CC}">
              <c16:uniqueId val="{00000001-6BCF-4084-84B8-2A4D1AA6AAAD}"/>
            </c:ext>
          </c:extLst>
        </c:ser>
        <c:ser>
          <c:idx val="2"/>
          <c:order val="2"/>
          <c:tx>
            <c:strRef>
              <c:f>'Brand VS Status'!$D$3:$D$4</c:f>
              <c:strCache>
                <c:ptCount val="1"/>
                <c:pt idx="0">
                  <c:v>Sold</c:v>
                </c:pt>
              </c:strCache>
            </c:strRef>
          </c:tx>
          <c:spPr>
            <a:solidFill>
              <a:schemeClr val="accent3"/>
            </a:solidFill>
            <a:ln>
              <a:noFill/>
            </a:ln>
            <a:effectLst/>
          </c:spPr>
          <c:invertIfNegative val="0"/>
          <c:cat>
            <c:strRef>
              <c:f>'Brand VS Status'!$A$5:$A$13</c:f>
              <c:strCache>
                <c:ptCount val="8"/>
                <c:pt idx="0">
                  <c:v>BMW</c:v>
                </c:pt>
                <c:pt idx="1">
                  <c:v>Hyundai</c:v>
                </c:pt>
                <c:pt idx="2">
                  <c:v>Kia</c:v>
                </c:pt>
                <c:pt idx="3">
                  <c:v>Mercedes</c:v>
                </c:pt>
                <c:pt idx="4">
                  <c:v>Nissan</c:v>
                </c:pt>
                <c:pt idx="5">
                  <c:v>Tesla</c:v>
                </c:pt>
                <c:pt idx="6">
                  <c:v>Toyota</c:v>
                </c:pt>
                <c:pt idx="7">
                  <c:v>Unknown</c:v>
                </c:pt>
              </c:strCache>
            </c:strRef>
          </c:cat>
          <c:val>
            <c:numRef>
              <c:f>'Brand VS Status'!$D$5:$D$13</c:f>
              <c:numCache>
                <c:formatCode>General</c:formatCode>
                <c:ptCount val="8"/>
                <c:pt idx="0">
                  <c:v>27</c:v>
                </c:pt>
                <c:pt idx="1">
                  <c:v>19</c:v>
                </c:pt>
                <c:pt idx="2">
                  <c:v>29</c:v>
                </c:pt>
                <c:pt idx="3">
                  <c:v>21</c:v>
                </c:pt>
                <c:pt idx="4">
                  <c:v>23</c:v>
                </c:pt>
                <c:pt idx="5">
                  <c:v>21</c:v>
                </c:pt>
                <c:pt idx="6">
                  <c:v>24</c:v>
                </c:pt>
                <c:pt idx="7">
                  <c:v>1</c:v>
                </c:pt>
              </c:numCache>
            </c:numRef>
          </c:val>
          <c:extLst>
            <c:ext xmlns:c16="http://schemas.microsoft.com/office/drawing/2014/chart" uri="{C3380CC4-5D6E-409C-BE32-E72D297353CC}">
              <c16:uniqueId val="{00000002-6BCF-4084-84B8-2A4D1AA6AAAD}"/>
            </c:ext>
          </c:extLst>
        </c:ser>
        <c:dLbls>
          <c:showLegendKey val="0"/>
          <c:showVal val="0"/>
          <c:showCatName val="0"/>
          <c:showSerName val="0"/>
          <c:showPercent val="0"/>
          <c:showBubbleSize val="0"/>
        </c:dLbls>
        <c:gapWidth val="219"/>
        <c:overlap val="-27"/>
        <c:axId val="453073055"/>
        <c:axId val="453060095"/>
      </c:barChart>
      <c:catAx>
        <c:axId val="45307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60095"/>
        <c:crosses val="autoZero"/>
        <c:auto val="1"/>
        <c:lblAlgn val="ctr"/>
        <c:lblOffset val="100"/>
        <c:noMultiLvlLbl val="0"/>
      </c:catAx>
      <c:valAx>
        <c:axId val="45306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073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Excel Sheet.xlsx]Status wise car!PivotTable1</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 wise cars</a:t>
            </a:r>
          </a:p>
        </c:rich>
      </c:tx>
      <c:layout>
        <c:manualLayout>
          <c:xMode val="edge"/>
          <c:yMode val="edge"/>
          <c:x val="0.28813173531014591"/>
          <c:y val="0.1214996941965944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3"/>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704039248627837E-2"/>
          <c:y val="0.25104945709132126"/>
          <c:w val="0.78164807524059488"/>
          <c:h val="0.6661254582143229"/>
        </c:manualLayout>
      </c:layout>
      <c:pie3DChart>
        <c:varyColors val="1"/>
        <c:ser>
          <c:idx val="0"/>
          <c:order val="0"/>
          <c:tx>
            <c:strRef>
              <c:f>'Status wise car'!$B$3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DA6-44F7-9917-7AEE9CA093A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DA6-44F7-9917-7AEE9CA093A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DA6-44F7-9917-7AEE9CA093A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'Status wise car'!$A$4:$A$7</c:f>
              <c:strCache>
                <c:ptCount val="3"/>
                <c:pt idx="0">
                  <c:v>Available</c:v>
                </c:pt>
                <c:pt idx="1">
                  <c:v>Reserved</c:v>
                </c:pt>
                <c:pt idx="2">
                  <c:v>Sold</c:v>
                </c:pt>
              </c:strCache>
            </c:strRef>
          </c:cat>
          <c:val>
            <c:numRef>
              <c:f>'Status wise car'!$B$4:$B$7</c:f>
              <c:numCache>
                <c:formatCode>General</c:formatCode>
                <c:ptCount val="3"/>
                <c:pt idx="0">
                  <c:v>179</c:v>
                </c:pt>
                <c:pt idx="1">
                  <c:v>157</c:v>
                </c:pt>
                <c:pt idx="2">
                  <c:v>165</c:v>
                </c:pt>
              </c:numCache>
            </c:numRef>
          </c:val>
          <c:extLst>
            <c:ext xmlns:c16="http://schemas.microsoft.com/office/drawing/2014/chart" uri="{C3380CC4-5D6E-409C-BE32-E72D297353CC}">
              <c16:uniqueId val="{00000006-EDA6-44F7-9917-7AEE9CA093A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594360</xdr:colOff>
      <xdr:row>2</xdr:row>
      <xdr:rowOff>41910</xdr:rowOff>
    </xdr:from>
    <xdr:to>
      <xdr:col>10</xdr:col>
      <xdr:colOff>289560</xdr:colOff>
      <xdr:row>17</xdr:row>
      <xdr:rowOff>41910</xdr:rowOff>
    </xdr:to>
    <xdr:graphicFrame macro="">
      <xdr:nvGraphicFramePr>
        <xdr:cNvPr id="2" name="Chart 1">
          <a:extLst>
            <a:ext uri="{FF2B5EF4-FFF2-40B4-BE49-F238E27FC236}">
              <a16:creationId xmlns:a16="http://schemas.microsoft.com/office/drawing/2014/main" id="{CA2F8F04-81B4-7F7B-BFF0-535E9D8DB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480060</xdr:colOff>
      <xdr:row>2</xdr:row>
      <xdr:rowOff>19050</xdr:rowOff>
    </xdr:from>
    <xdr:to>
      <xdr:col>12</xdr:col>
      <xdr:colOff>487680</xdr:colOff>
      <xdr:row>20</xdr:row>
      <xdr:rowOff>0</xdr:rowOff>
    </xdr:to>
    <xdr:graphicFrame macro="">
      <xdr:nvGraphicFramePr>
        <xdr:cNvPr id="2" name="Chart 1">
          <a:extLst>
            <a:ext uri="{FF2B5EF4-FFF2-40B4-BE49-F238E27FC236}">
              <a16:creationId xmlns:a16="http://schemas.microsoft.com/office/drawing/2014/main" id="{021A34C4-AABC-D5F5-84AA-891D5B360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464820</xdr:colOff>
      <xdr:row>1</xdr:row>
      <xdr:rowOff>118110</xdr:rowOff>
    </xdr:from>
    <xdr:to>
      <xdr:col>9</xdr:col>
      <xdr:colOff>312420</xdr:colOff>
      <xdr:row>15</xdr:row>
      <xdr:rowOff>129540</xdr:rowOff>
    </xdr:to>
    <xdr:graphicFrame macro="">
      <xdr:nvGraphicFramePr>
        <xdr:cNvPr id="2" name="Chart 1">
          <a:extLst>
            <a:ext uri="{FF2B5EF4-FFF2-40B4-BE49-F238E27FC236}">
              <a16:creationId xmlns:a16="http://schemas.microsoft.com/office/drawing/2014/main" id="{DE1415DE-5875-7740-BC40-A62DAD065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563880</xdr:colOff>
      <xdr:row>1</xdr:row>
      <xdr:rowOff>125730</xdr:rowOff>
    </xdr:from>
    <xdr:to>
      <xdr:col>8</xdr:col>
      <xdr:colOff>289560</xdr:colOff>
      <xdr:row>18</xdr:row>
      <xdr:rowOff>60960</xdr:rowOff>
    </xdr:to>
    <xdr:graphicFrame macro="">
      <xdr:nvGraphicFramePr>
        <xdr:cNvPr id="2" name="Chart 1">
          <a:extLst>
            <a:ext uri="{FF2B5EF4-FFF2-40B4-BE49-F238E27FC236}">
              <a16:creationId xmlns:a16="http://schemas.microsoft.com/office/drawing/2014/main" id="{1526AC35-9E75-A535-2ACD-E4C7B00AA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487680</xdr:colOff>
      <xdr:row>1</xdr:row>
      <xdr:rowOff>171450</xdr:rowOff>
    </xdr:from>
    <xdr:to>
      <xdr:col>9</xdr:col>
      <xdr:colOff>502920</xdr:colOff>
      <xdr:row>15</xdr:row>
      <xdr:rowOff>68580</xdr:rowOff>
    </xdr:to>
    <xdr:graphicFrame macro="">
      <xdr:nvGraphicFramePr>
        <xdr:cNvPr id="3" name="Chart 2">
          <a:extLst>
            <a:ext uri="{FF2B5EF4-FFF2-40B4-BE49-F238E27FC236}">
              <a16:creationId xmlns:a16="http://schemas.microsoft.com/office/drawing/2014/main" id="{082B4256-6234-9F3F-D528-CBB08A137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403860</xdr:colOff>
      <xdr:row>2</xdr:row>
      <xdr:rowOff>57150</xdr:rowOff>
    </xdr:from>
    <xdr:to>
      <xdr:col>9</xdr:col>
      <xdr:colOff>586740</xdr:colOff>
      <xdr:row>15</xdr:row>
      <xdr:rowOff>160020</xdr:rowOff>
    </xdr:to>
    <xdr:graphicFrame macro="">
      <xdr:nvGraphicFramePr>
        <xdr:cNvPr id="3" name="Chart 2">
          <a:extLst>
            <a:ext uri="{FF2B5EF4-FFF2-40B4-BE49-F238E27FC236}">
              <a16:creationId xmlns:a16="http://schemas.microsoft.com/office/drawing/2014/main" id="{5CB2F26E-9638-79BF-41BE-0387BF189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426720</xdr:colOff>
      <xdr:row>1</xdr:row>
      <xdr:rowOff>102870</xdr:rowOff>
    </xdr:from>
    <xdr:to>
      <xdr:col>11</xdr:col>
      <xdr:colOff>563880</xdr:colOff>
      <xdr:row>13</xdr:row>
      <xdr:rowOff>22860</xdr:rowOff>
    </xdr:to>
    <xdr:graphicFrame macro="">
      <xdr:nvGraphicFramePr>
        <xdr:cNvPr id="2" name="Chart 1">
          <a:extLst>
            <a:ext uri="{FF2B5EF4-FFF2-40B4-BE49-F238E27FC236}">
              <a16:creationId xmlns:a16="http://schemas.microsoft.com/office/drawing/2014/main" id="{F26FF1C6-A891-5B47-8770-3CEA23E0C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449580</xdr:colOff>
      <xdr:row>1</xdr:row>
      <xdr:rowOff>140970</xdr:rowOff>
    </xdr:from>
    <xdr:to>
      <xdr:col>12</xdr:col>
      <xdr:colOff>137160</xdr:colOff>
      <xdr:row>22</xdr:row>
      <xdr:rowOff>160020</xdr:rowOff>
    </xdr:to>
    <xdr:graphicFrame macro="">
      <xdr:nvGraphicFramePr>
        <xdr:cNvPr id="2" name="Chart 1">
          <a:extLst>
            <a:ext uri="{FF2B5EF4-FFF2-40B4-BE49-F238E27FC236}">
              <a16:creationId xmlns:a16="http://schemas.microsoft.com/office/drawing/2014/main" id="{C574690F-3C05-255E-E17C-D884D8CBA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38100</xdr:colOff>
      <xdr:row>9</xdr:row>
      <xdr:rowOff>156210</xdr:rowOff>
    </xdr:from>
    <xdr:to>
      <xdr:col>6</xdr:col>
      <xdr:colOff>7620</xdr:colOff>
      <xdr:row>24</xdr:row>
      <xdr:rowOff>156210</xdr:rowOff>
    </xdr:to>
    <xdr:graphicFrame macro="">
      <xdr:nvGraphicFramePr>
        <xdr:cNvPr id="2" name="Chart 1">
          <a:extLst>
            <a:ext uri="{FF2B5EF4-FFF2-40B4-BE49-F238E27FC236}">
              <a16:creationId xmlns:a16="http://schemas.microsoft.com/office/drawing/2014/main" id="{AC69A5F4-39BF-354F-4EC6-29BDDB9F1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533400</xdr:colOff>
      <xdr:row>4</xdr:row>
      <xdr:rowOff>11430</xdr:rowOff>
    </xdr:from>
    <xdr:to>
      <xdr:col>10</xdr:col>
      <xdr:colOff>152400</xdr:colOff>
      <xdr:row>16</xdr:row>
      <xdr:rowOff>160020</xdr:rowOff>
    </xdr:to>
    <xdr:graphicFrame macro="">
      <xdr:nvGraphicFramePr>
        <xdr:cNvPr id="3" name="Chart 2">
          <a:extLst>
            <a:ext uri="{FF2B5EF4-FFF2-40B4-BE49-F238E27FC236}">
              <a16:creationId xmlns:a16="http://schemas.microsoft.com/office/drawing/2014/main" id="{BE15FE6E-3F78-65C5-61F0-2984C63F0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32</xdr:col>
      <xdr:colOff>153022</xdr:colOff>
      <xdr:row>17</xdr:row>
      <xdr:rowOff>311020</xdr:rowOff>
    </xdr:from>
    <xdr:to>
      <xdr:col>37</xdr:col>
      <xdr:colOff>381622</xdr:colOff>
      <xdr:row>34</xdr:row>
      <xdr:rowOff>138093</xdr:rowOff>
    </xdr:to>
    <xdr:graphicFrame macro="">
      <xdr:nvGraphicFramePr>
        <xdr:cNvPr id="29" name="Chart 28">
          <a:extLst>
            <a:ext uri="{FF2B5EF4-FFF2-40B4-BE49-F238E27FC236}">
              <a16:creationId xmlns:a16="http://schemas.microsoft.com/office/drawing/2014/main" id="{75F28B7A-176B-4090-95C1-CD7CD5796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1181876</xdr:colOff>
      <xdr:row>21</xdr:row>
      <xdr:rowOff>62205</xdr:rowOff>
    </xdr:from>
    <xdr:to>
      <xdr:col>23</xdr:col>
      <xdr:colOff>559835</xdr:colOff>
      <xdr:row>48</xdr:row>
      <xdr:rowOff>108858</xdr:rowOff>
    </xdr:to>
    <xdr:graphicFrame macro="">
      <xdr:nvGraphicFramePr>
        <xdr:cNvPr id="2" name="Chart 1">
          <a:extLst>
            <a:ext uri="{FF2B5EF4-FFF2-40B4-BE49-F238E27FC236}">
              <a16:creationId xmlns:a16="http://schemas.microsoft.com/office/drawing/2014/main" id="{3248AFB7-AB18-47E3-8EFF-CF55DE6A9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450979</xdr:colOff>
      <xdr:row>4</xdr:row>
      <xdr:rowOff>93306</xdr:rowOff>
    </xdr:from>
    <xdr:to>
      <xdr:col>32</xdr:col>
      <xdr:colOff>62204</xdr:colOff>
      <xdr:row>20</xdr:row>
      <xdr:rowOff>124408</xdr:rowOff>
    </xdr:to>
    <xdr:graphicFrame macro="">
      <xdr:nvGraphicFramePr>
        <xdr:cNvPr id="4" name="Chart 3">
          <a:extLst>
            <a:ext uri="{FF2B5EF4-FFF2-40B4-BE49-F238E27FC236}">
              <a16:creationId xmlns:a16="http://schemas.microsoft.com/office/drawing/2014/main" id="{355E1D07-0699-4947-84A8-527523FDD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2422458</xdr:colOff>
      <xdr:row>6</xdr:row>
      <xdr:rowOff>279919</xdr:rowOff>
    </xdr:from>
    <xdr:to>
      <xdr:col>19</xdr:col>
      <xdr:colOff>342123</xdr:colOff>
      <xdr:row>21</xdr:row>
      <xdr:rowOff>31103</xdr:rowOff>
    </xdr:to>
    <xdr:graphicFrame macro="">
      <xdr:nvGraphicFramePr>
        <xdr:cNvPr id="6" name="Chart 5">
          <a:extLst>
            <a:ext uri="{FF2B5EF4-FFF2-40B4-BE49-F238E27FC236}">
              <a16:creationId xmlns:a16="http://schemas.microsoft.com/office/drawing/2014/main" id="{6CAB3ACA-C816-4A90-9198-0CFB1B40B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62206</xdr:colOff>
      <xdr:row>34</xdr:row>
      <xdr:rowOff>91592</xdr:rowOff>
    </xdr:from>
    <xdr:to>
      <xdr:col>41</xdr:col>
      <xdr:colOff>466530</xdr:colOff>
      <xdr:row>48</xdr:row>
      <xdr:rowOff>108858</xdr:rowOff>
    </xdr:to>
    <xdr:graphicFrame macro="">
      <xdr:nvGraphicFramePr>
        <xdr:cNvPr id="7" name="Chart 6">
          <a:extLst>
            <a:ext uri="{FF2B5EF4-FFF2-40B4-BE49-F238E27FC236}">
              <a16:creationId xmlns:a16="http://schemas.microsoft.com/office/drawing/2014/main" id="{FD7FEC76-2EB6-498F-AB3C-A45EA248B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46653</xdr:colOff>
      <xdr:row>21</xdr:row>
      <xdr:rowOff>46655</xdr:rowOff>
    </xdr:from>
    <xdr:to>
      <xdr:col>32</xdr:col>
      <xdr:colOff>31101</xdr:colOff>
      <xdr:row>34</xdr:row>
      <xdr:rowOff>46655</xdr:rowOff>
    </xdr:to>
    <xdr:graphicFrame macro="">
      <xdr:nvGraphicFramePr>
        <xdr:cNvPr id="8" name="Chart 7">
          <a:extLst>
            <a:ext uri="{FF2B5EF4-FFF2-40B4-BE49-F238E27FC236}">
              <a16:creationId xmlns:a16="http://schemas.microsoft.com/office/drawing/2014/main" id="{06F7879F-C119-4F27-94DD-10D236CB1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2410409</xdr:colOff>
      <xdr:row>21</xdr:row>
      <xdr:rowOff>62204</xdr:rowOff>
    </xdr:from>
    <xdr:to>
      <xdr:col>14</xdr:col>
      <xdr:colOff>1119674</xdr:colOff>
      <xdr:row>48</xdr:row>
      <xdr:rowOff>62205</xdr:rowOff>
    </xdr:to>
    <xdr:graphicFrame macro="">
      <xdr:nvGraphicFramePr>
        <xdr:cNvPr id="9" name="Chart 8">
          <a:extLst>
            <a:ext uri="{FF2B5EF4-FFF2-40B4-BE49-F238E27FC236}">
              <a16:creationId xmlns:a16="http://schemas.microsoft.com/office/drawing/2014/main" id="{453E1DA9-A600-4EBB-A988-1701ED520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335360</xdr:colOff>
      <xdr:row>23</xdr:row>
      <xdr:rowOff>62204</xdr:rowOff>
    </xdr:from>
    <xdr:to>
      <xdr:col>7</xdr:col>
      <xdr:colOff>2286000</xdr:colOff>
      <xdr:row>48</xdr:row>
      <xdr:rowOff>46654</xdr:rowOff>
    </xdr:to>
    <xdr:graphicFrame macro="">
      <xdr:nvGraphicFramePr>
        <xdr:cNvPr id="10" name="Chart 9">
          <a:extLst>
            <a:ext uri="{FF2B5EF4-FFF2-40B4-BE49-F238E27FC236}">
              <a16:creationId xmlns:a16="http://schemas.microsoft.com/office/drawing/2014/main" id="{185E2615-0ABB-4418-B073-564FC18A3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37</xdr:col>
      <xdr:colOff>515735</xdr:colOff>
      <xdr:row>17</xdr:row>
      <xdr:rowOff>373224</xdr:rowOff>
    </xdr:from>
    <xdr:to>
      <xdr:col>39</xdr:col>
      <xdr:colOff>404327</xdr:colOff>
      <xdr:row>34</xdr:row>
      <xdr:rowOff>0</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12D15C8C-0ACD-8EE6-6C63-2B09D359A0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921368" y="4152122"/>
              <a:ext cx="1101571" cy="3514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528950</xdr:colOff>
      <xdr:row>4</xdr:row>
      <xdr:rowOff>174183</xdr:rowOff>
    </xdr:from>
    <xdr:to>
      <xdr:col>39</xdr:col>
      <xdr:colOff>446031</xdr:colOff>
      <xdr:row>17</xdr:row>
      <xdr:rowOff>248815</xdr:rowOff>
    </xdr:to>
    <mc:AlternateContent xmlns:mc="http://schemas.openxmlformats.org/markup-compatibility/2006" xmlns:a14="http://schemas.microsoft.com/office/drawing/2010/main">
      <mc:Choice Requires="a14">
        <xdr:graphicFrame macro="">
          <xdr:nvGraphicFramePr>
            <xdr:cNvPr id="15" name="Brand">
              <a:extLst>
                <a:ext uri="{FF2B5EF4-FFF2-40B4-BE49-F238E27FC236}">
                  <a16:creationId xmlns:a16="http://schemas.microsoft.com/office/drawing/2014/main" id="{E7A958A9-F008-40EC-2754-69B8F7E13C2A}"/>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5721603" y="920633"/>
              <a:ext cx="2343040" cy="2718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198656</xdr:colOff>
      <xdr:row>9</xdr:row>
      <xdr:rowOff>97319</xdr:rowOff>
    </xdr:from>
    <xdr:to>
      <xdr:col>35</xdr:col>
      <xdr:colOff>388776</xdr:colOff>
      <xdr:row>17</xdr:row>
      <xdr:rowOff>256293</xdr:rowOff>
    </xdr:to>
    <mc:AlternateContent xmlns:mc="http://schemas.openxmlformats.org/markup-compatibility/2006" xmlns:a14="http://schemas.microsoft.com/office/drawing/2010/main">
      <mc:Choice Requires="a14">
        <xdr:graphicFrame macro="">
          <xdr:nvGraphicFramePr>
            <xdr:cNvPr id="20" name="Engine_Type">
              <a:extLst>
                <a:ext uri="{FF2B5EF4-FFF2-40B4-BE49-F238E27FC236}">
                  <a16:creationId xmlns:a16="http://schemas.microsoft.com/office/drawing/2014/main" id="{C73B639A-4D15-70F1-E8DD-B5D328F31C4C}"/>
                </a:ext>
              </a:extLst>
            </xdr:cNvPr>
            <xdr:cNvGraphicFramePr/>
          </xdr:nvGraphicFramePr>
          <xdr:xfrm>
            <a:off x="0" y="0"/>
            <a:ext cx="0" cy="0"/>
          </xdr:xfrm>
          <a:graphic>
            <a:graphicData uri="http://schemas.microsoft.com/office/drawing/2010/slicer">
              <sle:slicer xmlns:sle="http://schemas.microsoft.com/office/drawing/2010/slicer" name="Engine_Type"/>
            </a:graphicData>
          </a:graphic>
        </xdr:graphicFrame>
      </mc:Choice>
      <mc:Fallback xmlns="">
        <xdr:sp macro="" textlink="">
          <xdr:nvSpPr>
            <xdr:cNvPr id="0" name=""/>
            <xdr:cNvSpPr>
              <a:spLocks noTextEdit="1"/>
            </xdr:cNvSpPr>
          </xdr:nvSpPr>
          <xdr:spPr>
            <a:xfrm>
              <a:off x="23571840" y="2383319"/>
              <a:ext cx="2009589" cy="1651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168620</xdr:colOff>
      <xdr:row>4</xdr:row>
      <xdr:rowOff>146732</xdr:rowOff>
    </xdr:from>
    <xdr:to>
      <xdr:col>35</xdr:col>
      <xdr:colOff>357675</xdr:colOff>
      <xdr:row>9</xdr:row>
      <xdr:rowOff>36257</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10837F36-EB8A-9984-9DFF-518B9613760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3541804" y="893181"/>
              <a:ext cx="2008524" cy="1429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359731</xdr:colOff>
      <xdr:row>11</xdr:row>
      <xdr:rowOff>110483</xdr:rowOff>
    </xdr:from>
    <xdr:to>
      <xdr:col>7</xdr:col>
      <xdr:colOff>2317102</xdr:colOff>
      <xdr:row>22</xdr:row>
      <xdr:rowOff>147660</xdr:rowOff>
    </xdr:to>
    <xdr:graphicFrame macro="">
      <xdr:nvGraphicFramePr>
        <xdr:cNvPr id="12" name="Chart 11">
          <a:extLst>
            <a:ext uri="{FF2B5EF4-FFF2-40B4-BE49-F238E27FC236}">
              <a16:creationId xmlns:a16="http://schemas.microsoft.com/office/drawing/2014/main" id="{669D4271-9250-4F41-8C86-E4CF44547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698469</xdr:colOff>
      <xdr:row>1</xdr:row>
      <xdr:rowOff>27683</xdr:rowOff>
    </xdr:from>
    <xdr:to>
      <xdr:col>3</xdr:col>
      <xdr:colOff>1</xdr:colOff>
      <xdr:row>6</xdr:row>
      <xdr:rowOff>5600</xdr:rowOff>
    </xdr:to>
    <xdr:sp macro="" textlink="$D$20">
      <xdr:nvSpPr>
        <xdr:cNvPr id="5" name="Rectangle: Rounded Corners 4">
          <a:extLst>
            <a:ext uri="{FF2B5EF4-FFF2-40B4-BE49-F238E27FC236}">
              <a16:creationId xmlns:a16="http://schemas.microsoft.com/office/drawing/2014/main" id="{A75D817C-C753-B419-BA08-7FAA1B4DEC53}"/>
            </a:ext>
          </a:extLst>
        </xdr:cNvPr>
        <xdr:cNvSpPr/>
      </xdr:nvSpPr>
      <xdr:spPr>
        <a:xfrm>
          <a:off x="1304959" y="214295"/>
          <a:ext cx="1229858" cy="910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7D4B19-4F06-490E-B946-14B571FB88AA}" type="TxLink">
            <a:rPr lang="en-US" sz="3200" b="0" i="0" u="none" strike="noStrike">
              <a:solidFill>
                <a:srgbClr val="000000"/>
              </a:solidFill>
              <a:latin typeface="Aptos Narrow"/>
            </a:rPr>
            <a:pPr algn="ctr"/>
            <a:t>501</a:t>
          </a:fld>
          <a:endParaRPr lang="en-US" sz="3200"/>
        </a:p>
      </xdr:txBody>
    </xdr:sp>
    <xdr:clientData/>
  </xdr:twoCellAnchor>
  <xdr:twoCellAnchor>
    <xdr:from>
      <xdr:col>0</xdr:col>
      <xdr:colOff>283125</xdr:colOff>
      <xdr:row>1</xdr:row>
      <xdr:rowOff>13063</xdr:rowOff>
    </xdr:from>
    <xdr:to>
      <xdr:col>1</xdr:col>
      <xdr:colOff>995577</xdr:colOff>
      <xdr:row>5</xdr:row>
      <xdr:rowOff>163907</xdr:rowOff>
    </xdr:to>
    <xdr:sp macro="" textlink="">
      <xdr:nvSpPr>
        <xdr:cNvPr id="11" name="Arrow: Right 10">
          <a:extLst>
            <a:ext uri="{FF2B5EF4-FFF2-40B4-BE49-F238E27FC236}">
              <a16:creationId xmlns:a16="http://schemas.microsoft.com/office/drawing/2014/main" id="{E8BF1913-739C-0A17-7FF7-5C816530258F}"/>
            </a:ext>
          </a:extLst>
        </xdr:cNvPr>
        <xdr:cNvSpPr/>
      </xdr:nvSpPr>
      <xdr:spPr>
        <a:xfrm>
          <a:off x="283125" y="199675"/>
          <a:ext cx="1318942" cy="89729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t>TOTAL CAR</a:t>
          </a:r>
        </a:p>
      </xdr:txBody>
    </xdr:sp>
    <xdr:clientData/>
  </xdr:twoCellAnchor>
  <xdr:twoCellAnchor>
    <xdr:from>
      <xdr:col>10</xdr:col>
      <xdr:colOff>336750</xdr:colOff>
      <xdr:row>1</xdr:row>
      <xdr:rowOff>91752</xdr:rowOff>
    </xdr:from>
    <xdr:to>
      <xdr:col>12</xdr:col>
      <xdr:colOff>368248</xdr:colOff>
      <xdr:row>6</xdr:row>
      <xdr:rowOff>193456</xdr:rowOff>
    </xdr:to>
    <xdr:sp macro="" textlink="$G$18">
      <xdr:nvSpPr>
        <xdr:cNvPr id="26" name="Rectangle: Rounded Corners 25">
          <a:extLst>
            <a:ext uri="{FF2B5EF4-FFF2-40B4-BE49-F238E27FC236}">
              <a16:creationId xmlns:a16="http://schemas.microsoft.com/office/drawing/2014/main" id="{601E3900-C771-0FA9-9AD6-44D7AB7983E0}"/>
            </a:ext>
          </a:extLst>
        </xdr:cNvPr>
        <xdr:cNvSpPr/>
      </xdr:nvSpPr>
      <xdr:spPr>
        <a:xfrm>
          <a:off x="9791770" y="278364"/>
          <a:ext cx="1244478" cy="10347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E40B8C-F6BF-4B16-AF43-EFEA46674824}" type="TxLink">
            <a:rPr lang="en-US" sz="2800" b="0" i="0" u="none" strike="noStrike">
              <a:solidFill>
                <a:srgbClr val="000000"/>
              </a:solidFill>
              <a:latin typeface="Aptos Narrow"/>
            </a:rPr>
            <a:pPr algn="ctr"/>
            <a:t>157</a:t>
          </a:fld>
          <a:endParaRPr lang="en-US" sz="3200"/>
        </a:p>
      </xdr:txBody>
    </xdr:sp>
    <xdr:clientData/>
  </xdr:twoCellAnchor>
  <xdr:twoCellAnchor>
    <xdr:from>
      <xdr:col>7</xdr:col>
      <xdr:colOff>1544753</xdr:colOff>
      <xdr:row>1</xdr:row>
      <xdr:rowOff>28304</xdr:rowOff>
    </xdr:from>
    <xdr:to>
      <xdr:col>7</xdr:col>
      <xdr:colOff>2988284</xdr:colOff>
      <xdr:row>6</xdr:row>
      <xdr:rowOff>144625</xdr:rowOff>
    </xdr:to>
    <xdr:sp macro="" textlink="$F$18">
      <xdr:nvSpPr>
        <xdr:cNvPr id="27" name="Rectangle: Rounded Corners 26">
          <a:extLst>
            <a:ext uri="{FF2B5EF4-FFF2-40B4-BE49-F238E27FC236}">
              <a16:creationId xmlns:a16="http://schemas.microsoft.com/office/drawing/2014/main" id="{7D35150E-E896-3A29-190B-E414FCB73E9A}"/>
            </a:ext>
          </a:extLst>
        </xdr:cNvPr>
        <xdr:cNvSpPr/>
      </xdr:nvSpPr>
      <xdr:spPr>
        <a:xfrm>
          <a:off x="6738794" y="214916"/>
          <a:ext cx="1443531" cy="10493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D536D5-F9D6-415E-868B-D4409AEE7AA1}" type="TxLink">
            <a:rPr lang="en-US" sz="3200" b="0" i="0" u="none" strike="noStrike">
              <a:solidFill>
                <a:srgbClr val="000000"/>
              </a:solidFill>
              <a:latin typeface="Aptos Narrow"/>
            </a:rPr>
            <a:pPr algn="ctr"/>
            <a:t>179</a:t>
          </a:fld>
          <a:endParaRPr lang="en-US" sz="3200"/>
        </a:p>
      </xdr:txBody>
    </xdr:sp>
    <xdr:clientData/>
  </xdr:twoCellAnchor>
  <xdr:twoCellAnchor>
    <xdr:from>
      <xdr:col>5</xdr:col>
      <xdr:colOff>79538</xdr:colOff>
      <xdr:row>0</xdr:row>
      <xdr:rowOff>163575</xdr:rowOff>
    </xdr:from>
    <xdr:to>
      <xdr:col>7</xdr:col>
      <xdr:colOff>152401</xdr:colOff>
      <xdr:row>6</xdr:row>
      <xdr:rowOff>36389</xdr:rowOff>
    </xdr:to>
    <xdr:sp macro="" textlink="$D$18">
      <xdr:nvSpPr>
        <xdr:cNvPr id="28" name="Rectangle: Rounded Corners 27">
          <a:extLst>
            <a:ext uri="{FF2B5EF4-FFF2-40B4-BE49-F238E27FC236}">
              <a16:creationId xmlns:a16="http://schemas.microsoft.com/office/drawing/2014/main" id="{5B281209-92D0-2A6E-C366-2E9621CF4C18}"/>
            </a:ext>
          </a:extLst>
        </xdr:cNvPr>
        <xdr:cNvSpPr/>
      </xdr:nvSpPr>
      <xdr:spPr>
        <a:xfrm>
          <a:off x="3905089" y="163575"/>
          <a:ext cx="1441353" cy="9924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278A4F-0401-4231-9296-EC243CD44F58}" type="TxLink">
            <a:rPr lang="en-US" sz="2800" b="0" i="0" u="none" strike="noStrike">
              <a:solidFill>
                <a:srgbClr val="000000"/>
              </a:solidFill>
              <a:latin typeface="Aptos Narrow"/>
            </a:rPr>
            <a:pPr algn="ctr"/>
            <a:t>165</a:t>
          </a:fld>
          <a:endParaRPr lang="en-US" sz="1800"/>
        </a:p>
      </xdr:txBody>
    </xdr:sp>
    <xdr:clientData/>
  </xdr:twoCellAnchor>
  <xdr:twoCellAnchor>
    <xdr:from>
      <xdr:col>7</xdr:col>
      <xdr:colOff>987298</xdr:colOff>
      <xdr:row>6</xdr:row>
      <xdr:rowOff>489466</xdr:rowOff>
    </xdr:from>
    <xdr:to>
      <xdr:col>7</xdr:col>
      <xdr:colOff>2358180</xdr:colOff>
      <xdr:row>10</xdr:row>
      <xdr:rowOff>41959</xdr:rowOff>
    </xdr:to>
    <xdr:sp macro="" textlink="$C$18">
      <xdr:nvSpPr>
        <xdr:cNvPr id="31" name="Rectangle: Rounded Corners 30">
          <a:extLst>
            <a:ext uri="{FF2B5EF4-FFF2-40B4-BE49-F238E27FC236}">
              <a16:creationId xmlns:a16="http://schemas.microsoft.com/office/drawing/2014/main" id="{20A3C9F1-50CE-01D8-7661-6D41E774E6B1}"/>
            </a:ext>
          </a:extLst>
        </xdr:cNvPr>
        <xdr:cNvSpPr/>
      </xdr:nvSpPr>
      <xdr:spPr>
        <a:xfrm>
          <a:off x="6181339" y="1609139"/>
          <a:ext cx="1370882" cy="9054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80A560-E624-4F44-B0AD-0682E4FD8672}" type="TxLink">
            <a:rPr lang="en-US" sz="2400" b="0" i="0" u="none" strike="noStrike">
              <a:solidFill>
                <a:srgbClr val="000000"/>
              </a:solidFill>
              <a:latin typeface="Aptos Narrow"/>
            </a:rPr>
            <a:pPr algn="ctr"/>
            <a:t>4992</a:t>
          </a:fld>
          <a:endParaRPr lang="en-US" sz="1800"/>
        </a:p>
      </xdr:txBody>
    </xdr:sp>
    <xdr:clientData/>
  </xdr:twoCellAnchor>
  <xdr:twoCellAnchor>
    <xdr:from>
      <xdr:col>8</xdr:col>
      <xdr:colOff>115175</xdr:colOff>
      <xdr:row>0</xdr:row>
      <xdr:rowOff>185991</xdr:rowOff>
    </xdr:from>
    <xdr:to>
      <xdr:col>11</xdr:col>
      <xdr:colOff>20528</xdr:colOff>
      <xdr:row>6</xdr:row>
      <xdr:rowOff>192834</xdr:rowOff>
    </xdr:to>
    <xdr:sp macro="" textlink="">
      <xdr:nvSpPr>
        <xdr:cNvPr id="32" name="Arrow: Right 31">
          <a:extLst>
            <a:ext uri="{FF2B5EF4-FFF2-40B4-BE49-F238E27FC236}">
              <a16:creationId xmlns:a16="http://schemas.microsoft.com/office/drawing/2014/main" id="{27C43E51-5A4B-D5CC-013C-D5B9EC0C07C4}"/>
            </a:ext>
          </a:extLst>
        </xdr:cNvPr>
        <xdr:cNvSpPr/>
      </xdr:nvSpPr>
      <xdr:spPr>
        <a:xfrm>
          <a:off x="8357216" y="185991"/>
          <a:ext cx="1724822" cy="112651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RESERVED</a:t>
          </a:r>
        </a:p>
      </xdr:txBody>
    </xdr:sp>
    <xdr:clientData/>
  </xdr:twoCellAnchor>
  <xdr:twoCellAnchor>
    <xdr:from>
      <xdr:col>7</xdr:col>
      <xdr:colOff>327288</xdr:colOff>
      <xdr:row>0</xdr:row>
      <xdr:rowOff>123475</xdr:rowOff>
    </xdr:from>
    <xdr:to>
      <xdr:col>7</xdr:col>
      <xdr:colOff>1906244</xdr:colOff>
      <xdr:row>6</xdr:row>
      <xdr:rowOff>129074</xdr:rowOff>
    </xdr:to>
    <xdr:sp macro="" textlink="">
      <xdr:nvSpPr>
        <xdr:cNvPr id="33" name="Arrow: Right 32">
          <a:extLst>
            <a:ext uri="{FF2B5EF4-FFF2-40B4-BE49-F238E27FC236}">
              <a16:creationId xmlns:a16="http://schemas.microsoft.com/office/drawing/2014/main" id="{C3ABAB37-B125-95A0-3D61-203E4557B116}"/>
            </a:ext>
          </a:extLst>
        </xdr:cNvPr>
        <xdr:cNvSpPr/>
      </xdr:nvSpPr>
      <xdr:spPr>
        <a:xfrm>
          <a:off x="5521329" y="123475"/>
          <a:ext cx="1578956" cy="112527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AVAILABLE</a:t>
          </a:r>
        </a:p>
      </xdr:txBody>
    </xdr:sp>
    <xdr:clientData/>
  </xdr:twoCellAnchor>
  <xdr:twoCellAnchor>
    <xdr:from>
      <xdr:col>3</xdr:col>
      <xdr:colOff>147521</xdr:colOff>
      <xdr:row>0</xdr:row>
      <xdr:rowOff>164059</xdr:rowOff>
    </xdr:from>
    <xdr:to>
      <xdr:col>5</xdr:col>
      <xdr:colOff>442582</xdr:colOff>
      <xdr:row>6</xdr:row>
      <xdr:rowOff>54119</xdr:rowOff>
    </xdr:to>
    <xdr:sp macro="" textlink="">
      <xdr:nvSpPr>
        <xdr:cNvPr id="34" name="Arrow: Right 33">
          <a:extLst>
            <a:ext uri="{FF2B5EF4-FFF2-40B4-BE49-F238E27FC236}">
              <a16:creationId xmlns:a16="http://schemas.microsoft.com/office/drawing/2014/main" id="{36934E5F-4F15-3A85-A4B0-1EB04AE201E4}"/>
            </a:ext>
          </a:extLst>
        </xdr:cNvPr>
        <xdr:cNvSpPr/>
      </xdr:nvSpPr>
      <xdr:spPr>
        <a:xfrm>
          <a:off x="2682337" y="164059"/>
          <a:ext cx="1585796" cy="100973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SOLD</a:t>
          </a:r>
        </a:p>
      </xdr:txBody>
    </xdr:sp>
    <xdr:clientData/>
  </xdr:twoCellAnchor>
  <xdr:twoCellAnchor>
    <xdr:from>
      <xdr:col>5</xdr:col>
      <xdr:colOff>424780</xdr:colOff>
      <xdr:row>6</xdr:row>
      <xdr:rowOff>486778</xdr:rowOff>
    </xdr:from>
    <xdr:to>
      <xdr:col>7</xdr:col>
      <xdr:colOff>1331109</xdr:colOff>
      <xdr:row>10</xdr:row>
      <xdr:rowOff>22835</xdr:rowOff>
    </xdr:to>
    <xdr:sp macro="" textlink="">
      <xdr:nvSpPr>
        <xdr:cNvPr id="35" name="Arrow: Right 34">
          <a:extLst>
            <a:ext uri="{FF2B5EF4-FFF2-40B4-BE49-F238E27FC236}">
              <a16:creationId xmlns:a16="http://schemas.microsoft.com/office/drawing/2014/main" id="{A640E454-F509-6AAC-0A20-72077DE6DAF8}"/>
            </a:ext>
          </a:extLst>
        </xdr:cNvPr>
        <xdr:cNvSpPr/>
      </xdr:nvSpPr>
      <xdr:spPr>
        <a:xfrm>
          <a:off x="4250331" y="1606451"/>
          <a:ext cx="2274819" cy="88899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TOTAL</a:t>
          </a:r>
          <a:r>
            <a:rPr lang="en-IN" sz="2000" baseline="0"/>
            <a:t> STOCK</a:t>
          </a:r>
          <a:endParaRPr lang="en-IN" sz="2000"/>
        </a:p>
      </xdr:txBody>
    </xdr:sp>
    <xdr:clientData/>
  </xdr:twoCellAnchor>
  <xdr:twoCellAnchor>
    <xdr:from>
      <xdr:col>2</xdr:col>
      <xdr:colOff>114264</xdr:colOff>
      <xdr:row>6</xdr:row>
      <xdr:rowOff>564097</xdr:rowOff>
    </xdr:from>
    <xdr:to>
      <xdr:col>5</xdr:col>
      <xdr:colOff>342122</xdr:colOff>
      <xdr:row>9</xdr:row>
      <xdr:rowOff>93306</xdr:rowOff>
    </xdr:to>
    <xdr:sp macro="" textlink="$H$18">
      <xdr:nvSpPr>
        <xdr:cNvPr id="14" name="Rectangle: Rounded Corners 13">
          <a:extLst>
            <a:ext uri="{FF2B5EF4-FFF2-40B4-BE49-F238E27FC236}">
              <a16:creationId xmlns:a16="http://schemas.microsoft.com/office/drawing/2014/main" id="{74CD205D-B527-31B9-8285-7B94D41A7AED}"/>
            </a:ext>
          </a:extLst>
        </xdr:cNvPr>
        <xdr:cNvSpPr/>
      </xdr:nvSpPr>
      <xdr:spPr>
        <a:xfrm>
          <a:off x="1902631" y="1683770"/>
          <a:ext cx="2265042" cy="6955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A5F29B1-FED6-4984-A209-E890621148CA}" type="TxLink">
            <a:rPr lang="en-US" sz="2000" b="0" i="0" u="none" strike="noStrike">
              <a:solidFill>
                <a:srgbClr val="000000"/>
              </a:solidFill>
              <a:latin typeface="Aptos Narrow"/>
            </a:rPr>
            <a:pPr algn="ctr"/>
            <a:t>₹ 29,34,33,812</a:t>
          </a:fld>
          <a:endParaRPr lang="en-US" sz="2000"/>
        </a:p>
      </xdr:txBody>
    </xdr:sp>
    <xdr:clientData/>
  </xdr:twoCellAnchor>
  <xdr:twoCellAnchor>
    <xdr:from>
      <xdr:col>0</xdr:col>
      <xdr:colOff>370696</xdr:colOff>
      <xdr:row>6</xdr:row>
      <xdr:rowOff>448340</xdr:rowOff>
    </xdr:from>
    <xdr:to>
      <xdr:col>2</xdr:col>
      <xdr:colOff>365943</xdr:colOff>
      <xdr:row>9</xdr:row>
      <xdr:rowOff>163251</xdr:rowOff>
    </xdr:to>
    <xdr:sp macro="" textlink="">
      <xdr:nvSpPr>
        <xdr:cNvPr id="16" name="Arrow: Right 15">
          <a:extLst>
            <a:ext uri="{FF2B5EF4-FFF2-40B4-BE49-F238E27FC236}">
              <a16:creationId xmlns:a16="http://schemas.microsoft.com/office/drawing/2014/main" id="{5B07E357-5412-8E7C-A431-42714081BE29}"/>
            </a:ext>
          </a:extLst>
        </xdr:cNvPr>
        <xdr:cNvSpPr/>
      </xdr:nvSpPr>
      <xdr:spPr>
        <a:xfrm>
          <a:off x="370696" y="1568013"/>
          <a:ext cx="1783614" cy="88123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t>TOTAL REVENUE</a:t>
          </a:r>
        </a:p>
      </xdr:txBody>
    </xdr:sp>
    <xdr:clientData/>
  </xdr:twoCellAnchor>
  <xdr:twoCellAnchor>
    <xdr:from>
      <xdr:col>13</xdr:col>
      <xdr:colOff>171061</xdr:colOff>
      <xdr:row>1</xdr:row>
      <xdr:rowOff>15551</xdr:rowOff>
    </xdr:from>
    <xdr:to>
      <xdr:col>37</xdr:col>
      <xdr:colOff>217714</xdr:colOff>
      <xdr:row>3</xdr:row>
      <xdr:rowOff>139959</xdr:rowOff>
    </xdr:to>
    <xdr:sp macro="" textlink="">
      <xdr:nvSpPr>
        <xdr:cNvPr id="17" name="Rectangle 16">
          <a:extLst>
            <a:ext uri="{FF2B5EF4-FFF2-40B4-BE49-F238E27FC236}">
              <a16:creationId xmlns:a16="http://schemas.microsoft.com/office/drawing/2014/main" id="{4BED9708-518B-107E-8591-ECBF32D83DA4}"/>
            </a:ext>
          </a:extLst>
        </xdr:cNvPr>
        <xdr:cNvSpPr/>
      </xdr:nvSpPr>
      <xdr:spPr>
        <a:xfrm>
          <a:off x="11445551" y="202163"/>
          <a:ext cx="15177796" cy="497633"/>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latin typeface="Arial Black" panose="020B0A04020102020204" pitchFamily="34" charset="0"/>
            </a:rPr>
            <a:t>CAR INVENTORY MANAGEMENT AND STOCK ANALYSIS</a:t>
          </a:r>
        </a:p>
      </xdr:txBody>
    </xdr:sp>
    <xdr:clientData/>
  </xdr:twoCellAnchor>
  <xdr:twoCellAnchor editAs="oneCell">
    <xdr:from>
      <xdr:col>39</xdr:col>
      <xdr:colOff>542419</xdr:colOff>
      <xdr:row>13</xdr:row>
      <xdr:rowOff>105125</xdr:rowOff>
    </xdr:from>
    <xdr:to>
      <xdr:col>41</xdr:col>
      <xdr:colOff>497632</xdr:colOff>
      <xdr:row>21</xdr:row>
      <xdr:rowOff>31102</xdr:rowOff>
    </xdr:to>
    <mc:AlternateContent xmlns:mc="http://schemas.openxmlformats.org/markup-compatibility/2006" xmlns:a14="http://schemas.microsoft.com/office/drawing/2010/main">
      <mc:Choice Requires="a14">
        <xdr:graphicFrame macro="">
          <xdr:nvGraphicFramePr>
            <xdr:cNvPr id="18" name="Colour 1">
              <a:extLst>
                <a:ext uri="{FF2B5EF4-FFF2-40B4-BE49-F238E27FC236}">
                  <a16:creationId xmlns:a16="http://schemas.microsoft.com/office/drawing/2014/main" id="{978CFAC1-76ED-AF60-2163-FC3BFB6690E8}"/>
                </a:ext>
              </a:extLst>
            </xdr:cNvPr>
            <xdr:cNvGraphicFramePr/>
          </xdr:nvGraphicFramePr>
          <xdr:xfrm>
            <a:off x="0" y="0"/>
            <a:ext cx="0" cy="0"/>
          </xdr:xfrm>
          <a:graphic>
            <a:graphicData uri="http://schemas.microsoft.com/office/drawing/2010/slicer">
              <sle:slicer xmlns:sle="http://schemas.microsoft.com/office/drawing/2010/slicer" name="Colour 1"/>
            </a:graphicData>
          </a:graphic>
        </xdr:graphicFrame>
      </mc:Choice>
      <mc:Fallback xmlns="">
        <xdr:sp macro="" textlink="">
          <xdr:nvSpPr>
            <xdr:cNvPr id="0" name=""/>
            <xdr:cNvSpPr>
              <a:spLocks noTextEdit="1"/>
            </xdr:cNvSpPr>
          </xdr:nvSpPr>
          <xdr:spPr>
            <a:xfrm>
              <a:off x="28161031" y="3137574"/>
              <a:ext cx="1168193" cy="2134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esh Khade" refreshedDate="46297.011217939813" createdVersion="8" refreshedVersion="8" minRefreshableVersion="3" recordCount="501" xr:uid="{F1B86F81-9291-494C-A2CC-B96B942ED021}">
  <cacheSource type="worksheet">
    <worksheetSource ref="A1:L502" sheet="Cars inventory "/>
  </cacheSource>
  <cacheFields count="12">
    <cacheField name="Car_ID" numFmtId="0">
      <sharedItems/>
    </cacheField>
    <cacheField name="Brand" numFmtId="0">
      <sharedItems count="8">
        <s v="Toyota"/>
        <s v="Tesla"/>
        <s v="Nissan"/>
        <s v="Hyundai"/>
        <s v="Mercedes"/>
        <s v="BMW"/>
        <s v="Unknown"/>
        <s v="Kia"/>
      </sharedItems>
    </cacheField>
    <cacheField name="Model" numFmtId="0">
      <sharedItems count="21">
        <s v="Camry"/>
        <s v="Model 3"/>
        <s v="Qashqai"/>
        <s v="Sonata"/>
        <s v="RAV4"/>
        <s v="Elantra"/>
        <s v="C-Class"/>
        <s v="3 Series"/>
        <s v="Model S"/>
        <s v="Altima"/>
        <s v="Model X"/>
        <s v="E-Class"/>
        <s v="Sportage"/>
        <s v="Tucson"/>
        <s v="Cerato"/>
        <s v="5 Series"/>
        <s v="X5"/>
        <s v="GLA"/>
        <s v="Sunny"/>
        <s v="Corolla"/>
        <s v="Seltos"/>
      </sharedItems>
    </cacheField>
    <cacheField name="Year" numFmtId="0">
      <sharedItems containsSemiMixedTypes="0" containsString="0" containsNumber="1" containsInteger="1" minValue="2015" maxValue="2025" count="11">
        <n v="2023"/>
        <n v="2019"/>
        <n v="2018"/>
        <n v="2025"/>
        <n v="2016"/>
        <n v="2020"/>
        <n v="2021"/>
        <n v="2017"/>
        <n v="2015"/>
        <n v="2024"/>
        <n v="2022"/>
      </sharedItems>
    </cacheField>
    <cacheField name="Colour" numFmtId="0">
      <sharedItems count="6">
        <s v="Red"/>
        <s v="Blue"/>
        <s v="White"/>
        <s v="Gray"/>
        <s v="Silver"/>
        <s v="Black"/>
      </sharedItems>
    </cacheField>
    <cacheField name="Engine_Type" numFmtId="0">
      <sharedItems count="4">
        <s v="Petrol"/>
        <s v="Electric"/>
        <s v="Hybrid"/>
        <s v="Diesel"/>
      </sharedItems>
    </cacheField>
    <cacheField name="Transmission" numFmtId="0">
      <sharedItems count="3">
        <s v="Automatic"/>
        <s v="Manual"/>
        <s v="manaul" u="1"/>
      </sharedItems>
    </cacheField>
    <cacheField name="Price" numFmtId="164">
      <sharedItems containsSemiMixedTypes="0" containsString="0" containsNumber="1" minValue="15040.82" maxValue="99989.119999999995"/>
    </cacheField>
    <cacheField name="Price Range" numFmtId="164">
      <sharedItems count="2">
        <s v="80k-90k"/>
        <s v="90k-1L"/>
      </sharedItems>
    </cacheField>
    <cacheField name="Quantity_In_Stock" numFmtId="0">
      <sharedItems containsSemiMixedTypes="0" containsString="0" containsNumber="1" containsInteger="1" minValue="0" maxValue="20"/>
    </cacheField>
    <cacheField name="Brand_Revenue" numFmtId="165">
      <sharedItems containsSemiMixedTypes="0" containsString="0" containsNumber="1" minValue="0" maxValue="1894438.32"/>
    </cacheField>
    <cacheField name="Status" numFmtId="0">
      <sharedItems count="3">
        <s v="Available"/>
        <s v="Reserved"/>
        <s v="Sold"/>
      </sharedItems>
    </cacheField>
  </cacheFields>
  <extLst>
    <ext xmlns:x14="http://schemas.microsoft.com/office/spreadsheetml/2009/9/main" uri="{725AE2AE-9491-48be-B2B4-4EB974FC3084}">
      <x14:pivotCacheDefinition pivotCacheId="1622927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C0001"/>
    <x v="0"/>
    <x v="0"/>
    <x v="0"/>
    <x v="0"/>
    <x v="0"/>
    <x v="0"/>
    <n v="80338.149999999994"/>
    <x v="0"/>
    <n v="6"/>
    <n v="482028.89999999997"/>
    <x v="0"/>
  </r>
  <r>
    <s v="C0002"/>
    <x v="1"/>
    <x v="1"/>
    <x v="1"/>
    <x v="0"/>
    <x v="1"/>
    <x v="1"/>
    <n v="26437.73"/>
    <x v="0"/>
    <n v="16"/>
    <n v="423003.68"/>
    <x v="0"/>
  </r>
  <r>
    <s v="C0003"/>
    <x v="2"/>
    <x v="2"/>
    <x v="2"/>
    <x v="1"/>
    <x v="1"/>
    <x v="0"/>
    <n v="50158.13"/>
    <x v="0"/>
    <n v="20"/>
    <n v="1003162.6"/>
    <x v="0"/>
  </r>
  <r>
    <s v="C0004"/>
    <x v="3"/>
    <x v="3"/>
    <x v="3"/>
    <x v="0"/>
    <x v="2"/>
    <x v="0"/>
    <n v="33026.14"/>
    <x v="0"/>
    <n v="3"/>
    <n v="99078.42"/>
    <x v="0"/>
  </r>
  <r>
    <s v="C0005"/>
    <x v="0"/>
    <x v="4"/>
    <x v="4"/>
    <x v="2"/>
    <x v="2"/>
    <x v="1"/>
    <n v="79672.899999999994"/>
    <x v="0"/>
    <n v="9"/>
    <n v="717056.1"/>
    <x v="1"/>
  </r>
  <r>
    <s v="C0006"/>
    <x v="3"/>
    <x v="5"/>
    <x v="1"/>
    <x v="2"/>
    <x v="3"/>
    <x v="0"/>
    <n v="94225.03"/>
    <x v="1"/>
    <n v="17"/>
    <n v="1601825.51"/>
    <x v="2"/>
  </r>
  <r>
    <s v="C0007"/>
    <x v="4"/>
    <x v="6"/>
    <x v="5"/>
    <x v="3"/>
    <x v="0"/>
    <x v="1"/>
    <n v="21344.38"/>
    <x v="0"/>
    <n v="7"/>
    <n v="149410.66"/>
    <x v="1"/>
  </r>
  <r>
    <s v="C0008"/>
    <x v="1"/>
    <x v="1"/>
    <x v="6"/>
    <x v="3"/>
    <x v="2"/>
    <x v="1"/>
    <n v="48813.94"/>
    <x v="0"/>
    <n v="14"/>
    <n v="683395.16"/>
    <x v="1"/>
  </r>
  <r>
    <s v="C0009"/>
    <x v="5"/>
    <x v="7"/>
    <x v="7"/>
    <x v="1"/>
    <x v="1"/>
    <x v="1"/>
    <n v="34430.1"/>
    <x v="0"/>
    <n v="14"/>
    <n v="482021.39999999997"/>
    <x v="2"/>
  </r>
  <r>
    <s v="C0010"/>
    <x v="1"/>
    <x v="8"/>
    <x v="8"/>
    <x v="0"/>
    <x v="2"/>
    <x v="1"/>
    <n v="42136.55"/>
    <x v="0"/>
    <n v="0"/>
    <n v="0"/>
    <x v="2"/>
  </r>
  <r>
    <s v="C0011"/>
    <x v="1"/>
    <x v="1"/>
    <x v="7"/>
    <x v="4"/>
    <x v="1"/>
    <x v="0"/>
    <n v="17337.05"/>
    <x v="0"/>
    <n v="3"/>
    <n v="52011.149999999994"/>
    <x v="0"/>
  </r>
  <r>
    <s v="C0012"/>
    <x v="1"/>
    <x v="8"/>
    <x v="4"/>
    <x v="3"/>
    <x v="1"/>
    <x v="1"/>
    <n v="78178.58"/>
    <x v="0"/>
    <n v="13"/>
    <n v="1016321.54"/>
    <x v="1"/>
  </r>
  <r>
    <s v="C0013"/>
    <x v="3"/>
    <x v="3"/>
    <x v="2"/>
    <x v="1"/>
    <x v="3"/>
    <x v="1"/>
    <n v="92616.24"/>
    <x v="1"/>
    <n v="2"/>
    <n v="185232.48"/>
    <x v="2"/>
  </r>
  <r>
    <s v="C0014"/>
    <x v="0"/>
    <x v="4"/>
    <x v="9"/>
    <x v="4"/>
    <x v="2"/>
    <x v="0"/>
    <n v="97512.33"/>
    <x v="1"/>
    <n v="18"/>
    <n v="1755221.94"/>
    <x v="1"/>
  </r>
  <r>
    <s v="C0015"/>
    <x v="6"/>
    <x v="9"/>
    <x v="1"/>
    <x v="1"/>
    <x v="3"/>
    <x v="1"/>
    <n v="89267.74"/>
    <x v="0"/>
    <n v="17"/>
    <n v="1517551.58"/>
    <x v="1"/>
  </r>
  <r>
    <s v="C0016"/>
    <x v="5"/>
    <x v="7"/>
    <x v="9"/>
    <x v="5"/>
    <x v="0"/>
    <x v="1"/>
    <n v="36006.199999999997"/>
    <x v="0"/>
    <n v="10"/>
    <n v="360062"/>
    <x v="1"/>
  </r>
  <r>
    <s v="C0017"/>
    <x v="2"/>
    <x v="2"/>
    <x v="2"/>
    <x v="4"/>
    <x v="0"/>
    <x v="0"/>
    <n v="30585.94"/>
    <x v="0"/>
    <n v="2"/>
    <n v="61171.88"/>
    <x v="1"/>
  </r>
  <r>
    <s v="C0018"/>
    <x v="2"/>
    <x v="2"/>
    <x v="4"/>
    <x v="5"/>
    <x v="0"/>
    <x v="1"/>
    <n v="71104.740000000005"/>
    <x v="0"/>
    <n v="15"/>
    <n v="1066571.1000000001"/>
    <x v="1"/>
  </r>
  <r>
    <s v="C0019"/>
    <x v="1"/>
    <x v="8"/>
    <x v="1"/>
    <x v="2"/>
    <x v="3"/>
    <x v="1"/>
    <n v="24426.04"/>
    <x v="0"/>
    <n v="2"/>
    <n v="48852.08"/>
    <x v="2"/>
  </r>
  <r>
    <s v="C0020"/>
    <x v="0"/>
    <x v="0"/>
    <x v="10"/>
    <x v="1"/>
    <x v="1"/>
    <x v="1"/>
    <n v="68270.75"/>
    <x v="0"/>
    <n v="2"/>
    <n v="136541.5"/>
    <x v="2"/>
  </r>
  <r>
    <s v="C0021"/>
    <x v="5"/>
    <x v="7"/>
    <x v="5"/>
    <x v="0"/>
    <x v="3"/>
    <x v="0"/>
    <n v="60882.36"/>
    <x v="0"/>
    <n v="19"/>
    <n v="1156764.8400000001"/>
    <x v="0"/>
  </r>
  <r>
    <s v="C0022"/>
    <x v="1"/>
    <x v="10"/>
    <x v="2"/>
    <x v="0"/>
    <x v="3"/>
    <x v="0"/>
    <n v="40366.14"/>
    <x v="0"/>
    <n v="18"/>
    <n v="726590.52"/>
    <x v="2"/>
  </r>
  <r>
    <s v="C0023"/>
    <x v="1"/>
    <x v="1"/>
    <x v="9"/>
    <x v="4"/>
    <x v="3"/>
    <x v="0"/>
    <n v="51077.41"/>
    <x v="0"/>
    <n v="20"/>
    <n v="1021548.2000000001"/>
    <x v="1"/>
  </r>
  <r>
    <s v="C0024"/>
    <x v="4"/>
    <x v="11"/>
    <x v="1"/>
    <x v="1"/>
    <x v="0"/>
    <x v="1"/>
    <n v="33546.720000000001"/>
    <x v="0"/>
    <n v="8"/>
    <n v="268373.76000000001"/>
    <x v="2"/>
  </r>
  <r>
    <s v="C0025"/>
    <x v="2"/>
    <x v="9"/>
    <x v="4"/>
    <x v="4"/>
    <x v="0"/>
    <x v="1"/>
    <n v="48204.7"/>
    <x v="0"/>
    <n v="2"/>
    <n v="96409.4"/>
    <x v="0"/>
  </r>
  <r>
    <s v="C0026"/>
    <x v="5"/>
    <x v="7"/>
    <x v="0"/>
    <x v="5"/>
    <x v="1"/>
    <x v="0"/>
    <n v="94847.47"/>
    <x v="1"/>
    <n v="5"/>
    <n v="474237.35"/>
    <x v="2"/>
  </r>
  <r>
    <s v="C0027"/>
    <x v="4"/>
    <x v="11"/>
    <x v="5"/>
    <x v="3"/>
    <x v="2"/>
    <x v="1"/>
    <n v="30021.18"/>
    <x v="0"/>
    <n v="8"/>
    <n v="240169.44"/>
    <x v="0"/>
  </r>
  <r>
    <s v="C0028"/>
    <x v="7"/>
    <x v="12"/>
    <x v="4"/>
    <x v="1"/>
    <x v="2"/>
    <x v="1"/>
    <n v="64476.81"/>
    <x v="0"/>
    <n v="10"/>
    <n v="644768.1"/>
    <x v="2"/>
  </r>
  <r>
    <s v="C0029"/>
    <x v="1"/>
    <x v="1"/>
    <x v="9"/>
    <x v="4"/>
    <x v="2"/>
    <x v="1"/>
    <n v="87083.91"/>
    <x v="0"/>
    <n v="11"/>
    <n v="957923.01"/>
    <x v="2"/>
  </r>
  <r>
    <s v="C0030"/>
    <x v="3"/>
    <x v="13"/>
    <x v="10"/>
    <x v="3"/>
    <x v="3"/>
    <x v="1"/>
    <n v="30892.91"/>
    <x v="0"/>
    <n v="0"/>
    <n v="0"/>
    <x v="0"/>
  </r>
  <r>
    <s v="C0031"/>
    <x v="4"/>
    <x v="11"/>
    <x v="4"/>
    <x v="4"/>
    <x v="0"/>
    <x v="0"/>
    <n v="66365.919999999998"/>
    <x v="0"/>
    <n v="5"/>
    <n v="331829.59999999998"/>
    <x v="1"/>
  </r>
  <r>
    <s v="C0032"/>
    <x v="1"/>
    <x v="10"/>
    <x v="2"/>
    <x v="1"/>
    <x v="0"/>
    <x v="0"/>
    <n v="65576.929999999993"/>
    <x v="0"/>
    <n v="10"/>
    <n v="655769.29999999993"/>
    <x v="1"/>
  </r>
  <r>
    <s v="C0033"/>
    <x v="6"/>
    <x v="1"/>
    <x v="5"/>
    <x v="2"/>
    <x v="0"/>
    <x v="1"/>
    <n v="21841.21"/>
    <x v="0"/>
    <n v="10"/>
    <n v="218412.09999999998"/>
    <x v="2"/>
  </r>
  <r>
    <s v="C0034"/>
    <x v="0"/>
    <x v="0"/>
    <x v="0"/>
    <x v="1"/>
    <x v="0"/>
    <x v="0"/>
    <n v="89206.33"/>
    <x v="0"/>
    <n v="18"/>
    <n v="1605713.94"/>
    <x v="0"/>
  </r>
  <r>
    <s v="C0035"/>
    <x v="7"/>
    <x v="14"/>
    <x v="0"/>
    <x v="1"/>
    <x v="2"/>
    <x v="1"/>
    <n v="65266.64"/>
    <x v="0"/>
    <n v="5"/>
    <n v="326333.2"/>
    <x v="2"/>
  </r>
  <r>
    <s v="C0036"/>
    <x v="0"/>
    <x v="0"/>
    <x v="7"/>
    <x v="0"/>
    <x v="1"/>
    <x v="0"/>
    <n v="22685.3"/>
    <x v="0"/>
    <n v="13"/>
    <n v="294908.89999999997"/>
    <x v="0"/>
  </r>
  <r>
    <s v="C0037"/>
    <x v="7"/>
    <x v="12"/>
    <x v="9"/>
    <x v="0"/>
    <x v="3"/>
    <x v="1"/>
    <n v="18249.009999999998"/>
    <x v="0"/>
    <n v="15"/>
    <n v="273735.14999999997"/>
    <x v="2"/>
  </r>
  <r>
    <s v="C0038"/>
    <x v="2"/>
    <x v="9"/>
    <x v="7"/>
    <x v="2"/>
    <x v="1"/>
    <x v="0"/>
    <n v="17943.21"/>
    <x v="0"/>
    <n v="17"/>
    <n v="305034.57"/>
    <x v="0"/>
  </r>
  <r>
    <s v="C0039"/>
    <x v="7"/>
    <x v="14"/>
    <x v="10"/>
    <x v="3"/>
    <x v="2"/>
    <x v="0"/>
    <n v="79781.25"/>
    <x v="0"/>
    <n v="19"/>
    <n v="1515843.75"/>
    <x v="0"/>
  </r>
  <r>
    <s v="C0040"/>
    <x v="1"/>
    <x v="10"/>
    <x v="4"/>
    <x v="2"/>
    <x v="3"/>
    <x v="1"/>
    <n v="18775.419999999998"/>
    <x v="0"/>
    <n v="15"/>
    <n v="281631.3"/>
    <x v="2"/>
  </r>
  <r>
    <s v="C0041"/>
    <x v="2"/>
    <x v="2"/>
    <x v="8"/>
    <x v="1"/>
    <x v="2"/>
    <x v="1"/>
    <n v="48152.43"/>
    <x v="0"/>
    <n v="15"/>
    <n v="722286.45"/>
    <x v="2"/>
  </r>
  <r>
    <s v="C0042"/>
    <x v="4"/>
    <x v="11"/>
    <x v="2"/>
    <x v="3"/>
    <x v="2"/>
    <x v="0"/>
    <n v="52740.959999999999"/>
    <x v="0"/>
    <n v="19"/>
    <n v="1002078.24"/>
    <x v="1"/>
  </r>
  <r>
    <s v="C0043"/>
    <x v="3"/>
    <x v="3"/>
    <x v="2"/>
    <x v="4"/>
    <x v="3"/>
    <x v="0"/>
    <n v="24980.76"/>
    <x v="0"/>
    <n v="17"/>
    <n v="424672.92"/>
    <x v="1"/>
  </r>
  <r>
    <s v="C0044"/>
    <x v="5"/>
    <x v="7"/>
    <x v="1"/>
    <x v="2"/>
    <x v="3"/>
    <x v="0"/>
    <n v="34474.21"/>
    <x v="0"/>
    <n v="8"/>
    <n v="275793.68"/>
    <x v="2"/>
  </r>
  <r>
    <s v="C0045"/>
    <x v="5"/>
    <x v="15"/>
    <x v="5"/>
    <x v="2"/>
    <x v="1"/>
    <x v="1"/>
    <n v="85822.19"/>
    <x v="0"/>
    <n v="0"/>
    <n v="0"/>
    <x v="1"/>
  </r>
  <r>
    <s v="C0046"/>
    <x v="5"/>
    <x v="16"/>
    <x v="10"/>
    <x v="2"/>
    <x v="2"/>
    <x v="0"/>
    <n v="99941.14"/>
    <x v="1"/>
    <n v="11"/>
    <n v="1099352.54"/>
    <x v="2"/>
  </r>
  <r>
    <s v="C0047"/>
    <x v="1"/>
    <x v="8"/>
    <x v="1"/>
    <x v="2"/>
    <x v="1"/>
    <x v="1"/>
    <n v="37412.17"/>
    <x v="0"/>
    <n v="7"/>
    <n v="261885.19"/>
    <x v="0"/>
  </r>
  <r>
    <s v="C0048"/>
    <x v="4"/>
    <x v="17"/>
    <x v="10"/>
    <x v="5"/>
    <x v="0"/>
    <x v="0"/>
    <n v="72301.279999999999"/>
    <x v="0"/>
    <n v="17"/>
    <n v="1229121.76"/>
    <x v="0"/>
  </r>
  <r>
    <s v="C0049"/>
    <x v="1"/>
    <x v="8"/>
    <x v="5"/>
    <x v="0"/>
    <x v="3"/>
    <x v="0"/>
    <n v="58158.34"/>
    <x v="0"/>
    <n v="5"/>
    <n v="290791.69999999995"/>
    <x v="2"/>
  </r>
  <r>
    <s v="C0050"/>
    <x v="4"/>
    <x v="6"/>
    <x v="9"/>
    <x v="0"/>
    <x v="3"/>
    <x v="1"/>
    <n v="88724.54"/>
    <x v="0"/>
    <n v="16"/>
    <n v="1419592.64"/>
    <x v="1"/>
  </r>
  <r>
    <s v="C0051"/>
    <x v="7"/>
    <x v="12"/>
    <x v="5"/>
    <x v="3"/>
    <x v="3"/>
    <x v="0"/>
    <n v="29037.62"/>
    <x v="0"/>
    <n v="5"/>
    <n v="145188.1"/>
    <x v="2"/>
  </r>
  <r>
    <s v="C0052"/>
    <x v="7"/>
    <x v="12"/>
    <x v="10"/>
    <x v="3"/>
    <x v="3"/>
    <x v="1"/>
    <n v="26075.52"/>
    <x v="0"/>
    <n v="20"/>
    <n v="521510.40000000002"/>
    <x v="0"/>
  </r>
  <r>
    <s v="C0053"/>
    <x v="1"/>
    <x v="10"/>
    <x v="10"/>
    <x v="5"/>
    <x v="2"/>
    <x v="1"/>
    <n v="33621.82"/>
    <x v="0"/>
    <n v="13"/>
    <n v="437083.66"/>
    <x v="2"/>
  </r>
  <r>
    <s v="C0054"/>
    <x v="0"/>
    <x v="0"/>
    <x v="2"/>
    <x v="4"/>
    <x v="2"/>
    <x v="1"/>
    <n v="30129.17"/>
    <x v="0"/>
    <n v="20"/>
    <n v="602583.39999999991"/>
    <x v="1"/>
  </r>
  <r>
    <s v="C0055"/>
    <x v="5"/>
    <x v="16"/>
    <x v="8"/>
    <x v="1"/>
    <x v="3"/>
    <x v="0"/>
    <n v="77348.2"/>
    <x v="0"/>
    <n v="16"/>
    <n v="1237571.2"/>
    <x v="0"/>
  </r>
  <r>
    <s v="C0056"/>
    <x v="2"/>
    <x v="18"/>
    <x v="6"/>
    <x v="3"/>
    <x v="3"/>
    <x v="1"/>
    <n v="65876.67"/>
    <x v="0"/>
    <n v="8"/>
    <n v="527013.36"/>
    <x v="0"/>
  </r>
  <r>
    <s v="C0057"/>
    <x v="2"/>
    <x v="9"/>
    <x v="2"/>
    <x v="5"/>
    <x v="3"/>
    <x v="1"/>
    <n v="61473.24"/>
    <x v="0"/>
    <n v="18"/>
    <n v="1106518.32"/>
    <x v="0"/>
  </r>
  <r>
    <s v="C0058"/>
    <x v="1"/>
    <x v="8"/>
    <x v="0"/>
    <x v="5"/>
    <x v="1"/>
    <x v="0"/>
    <n v="94755.18"/>
    <x v="1"/>
    <n v="12"/>
    <n v="1137062.1599999999"/>
    <x v="0"/>
  </r>
  <r>
    <s v="C0059"/>
    <x v="7"/>
    <x v="12"/>
    <x v="5"/>
    <x v="3"/>
    <x v="0"/>
    <x v="1"/>
    <n v="91552.46"/>
    <x v="1"/>
    <n v="4"/>
    <n v="366209.84"/>
    <x v="2"/>
  </r>
  <r>
    <s v="C0060"/>
    <x v="0"/>
    <x v="19"/>
    <x v="0"/>
    <x v="4"/>
    <x v="3"/>
    <x v="1"/>
    <n v="99129.16"/>
    <x v="1"/>
    <n v="1"/>
    <n v="99129.16"/>
    <x v="1"/>
  </r>
  <r>
    <s v="C0061"/>
    <x v="2"/>
    <x v="18"/>
    <x v="1"/>
    <x v="5"/>
    <x v="0"/>
    <x v="1"/>
    <n v="70324.990000000005"/>
    <x v="0"/>
    <n v="19"/>
    <n v="1336174.81"/>
    <x v="0"/>
  </r>
  <r>
    <s v="C0062"/>
    <x v="1"/>
    <x v="10"/>
    <x v="7"/>
    <x v="5"/>
    <x v="1"/>
    <x v="1"/>
    <n v="39427.050000000003"/>
    <x v="0"/>
    <n v="13"/>
    <n v="512551.65"/>
    <x v="0"/>
  </r>
  <r>
    <s v="C0063"/>
    <x v="7"/>
    <x v="20"/>
    <x v="1"/>
    <x v="0"/>
    <x v="3"/>
    <x v="1"/>
    <n v="83221.84"/>
    <x v="0"/>
    <n v="16"/>
    <n v="1331549.44"/>
    <x v="2"/>
  </r>
  <r>
    <s v="C0064"/>
    <x v="3"/>
    <x v="13"/>
    <x v="1"/>
    <x v="4"/>
    <x v="3"/>
    <x v="0"/>
    <n v="37129.03"/>
    <x v="0"/>
    <n v="7"/>
    <n v="259903.21"/>
    <x v="1"/>
  </r>
  <r>
    <s v="C0065"/>
    <x v="2"/>
    <x v="9"/>
    <x v="1"/>
    <x v="3"/>
    <x v="1"/>
    <x v="1"/>
    <n v="46080.53"/>
    <x v="0"/>
    <n v="2"/>
    <n v="92161.06"/>
    <x v="0"/>
  </r>
  <r>
    <s v="C0066"/>
    <x v="4"/>
    <x v="11"/>
    <x v="7"/>
    <x v="2"/>
    <x v="2"/>
    <x v="1"/>
    <n v="94252.12"/>
    <x v="1"/>
    <n v="11"/>
    <n v="1036773.32"/>
    <x v="1"/>
  </r>
  <r>
    <s v="C0067"/>
    <x v="3"/>
    <x v="5"/>
    <x v="4"/>
    <x v="4"/>
    <x v="3"/>
    <x v="1"/>
    <n v="16670.509999999998"/>
    <x v="0"/>
    <n v="18"/>
    <n v="300069.18"/>
    <x v="1"/>
  </r>
  <r>
    <s v="C0068"/>
    <x v="3"/>
    <x v="13"/>
    <x v="2"/>
    <x v="5"/>
    <x v="3"/>
    <x v="0"/>
    <n v="47910.8"/>
    <x v="0"/>
    <n v="5"/>
    <n v="239554"/>
    <x v="2"/>
  </r>
  <r>
    <s v="C0069"/>
    <x v="3"/>
    <x v="3"/>
    <x v="0"/>
    <x v="1"/>
    <x v="2"/>
    <x v="0"/>
    <n v="31312.75"/>
    <x v="0"/>
    <n v="19"/>
    <n v="594942.25"/>
    <x v="0"/>
  </r>
  <r>
    <s v="C0070"/>
    <x v="3"/>
    <x v="3"/>
    <x v="4"/>
    <x v="5"/>
    <x v="2"/>
    <x v="0"/>
    <n v="37639.31"/>
    <x v="0"/>
    <n v="19"/>
    <n v="715146.8899999999"/>
    <x v="1"/>
  </r>
  <r>
    <s v="C0071"/>
    <x v="7"/>
    <x v="20"/>
    <x v="7"/>
    <x v="5"/>
    <x v="1"/>
    <x v="0"/>
    <n v="53635.55"/>
    <x v="0"/>
    <n v="4"/>
    <n v="214542.2"/>
    <x v="0"/>
  </r>
  <r>
    <s v="C0072"/>
    <x v="4"/>
    <x v="17"/>
    <x v="4"/>
    <x v="0"/>
    <x v="1"/>
    <x v="1"/>
    <n v="90776.35"/>
    <x v="1"/>
    <n v="5"/>
    <n v="453881.75"/>
    <x v="0"/>
  </r>
  <r>
    <s v="C0073"/>
    <x v="7"/>
    <x v="12"/>
    <x v="8"/>
    <x v="0"/>
    <x v="3"/>
    <x v="1"/>
    <n v="81463.08"/>
    <x v="0"/>
    <n v="15"/>
    <n v="1221946.2"/>
    <x v="1"/>
  </r>
  <r>
    <s v="C0074"/>
    <x v="3"/>
    <x v="13"/>
    <x v="7"/>
    <x v="3"/>
    <x v="1"/>
    <x v="0"/>
    <n v="92661.53"/>
    <x v="1"/>
    <n v="5"/>
    <n v="463307.65"/>
    <x v="0"/>
  </r>
  <r>
    <s v="C0075"/>
    <x v="7"/>
    <x v="20"/>
    <x v="5"/>
    <x v="5"/>
    <x v="0"/>
    <x v="0"/>
    <n v="87777.21"/>
    <x v="0"/>
    <n v="9"/>
    <n v="789994.89"/>
    <x v="1"/>
  </r>
  <r>
    <s v="C0076"/>
    <x v="2"/>
    <x v="2"/>
    <x v="5"/>
    <x v="4"/>
    <x v="2"/>
    <x v="1"/>
    <n v="97778.44"/>
    <x v="1"/>
    <n v="15"/>
    <n v="1466676.6"/>
    <x v="0"/>
  </r>
  <r>
    <s v="C0077"/>
    <x v="0"/>
    <x v="4"/>
    <x v="2"/>
    <x v="5"/>
    <x v="1"/>
    <x v="0"/>
    <n v="37286.07"/>
    <x v="0"/>
    <n v="7"/>
    <n v="261002.49"/>
    <x v="2"/>
  </r>
  <r>
    <s v="C0078"/>
    <x v="5"/>
    <x v="7"/>
    <x v="5"/>
    <x v="1"/>
    <x v="2"/>
    <x v="1"/>
    <n v="87241.9"/>
    <x v="0"/>
    <n v="2"/>
    <n v="174483.8"/>
    <x v="0"/>
  </r>
  <r>
    <s v="C0079"/>
    <x v="0"/>
    <x v="19"/>
    <x v="1"/>
    <x v="1"/>
    <x v="3"/>
    <x v="0"/>
    <n v="86983.02"/>
    <x v="0"/>
    <n v="1"/>
    <n v="86983.02"/>
    <x v="0"/>
  </r>
  <r>
    <s v="C0080"/>
    <x v="5"/>
    <x v="16"/>
    <x v="5"/>
    <x v="2"/>
    <x v="0"/>
    <x v="0"/>
    <n v="97807.1"/>
    <x v="1"/>
    <n v="13"/>
    <n v="1271492.3"/>
    <x v="2"/>
  </r>
  <r>
    <s v="C0081"/>
    <x v="1"/>
    <x v="1"/>
    <x v="4"/>
    <x v="5"/>
    <x v="0"/>
    <x v="1"/>
    <n v="37385.339999999997"/>
    <x v="0"/>
    <n v="12"/>
    <n v="448624.07999999996"/>
    <x v="1"/>
  </r>
  <r>
    <s v="C0082"/>
    <x v="1"/>
    <x v="8"/>
    <x v="8"/>
    <x v="3"/>
    <x v="3"/>
    <x v="0"/>
    <n v="71327.53"/>
    <x v="0"/>
    <n v="16"/>
    <n v="1141240.48"/>
    <x v="2"/>
  </r>
  <r>
    <s v="C0083"/>
    <x v="3"/>
    <x v="5"/>
    <x v="5"/>
    <x v="5"/>
    <x v="1"/>
    <x v="1"/>
    <n v="94839.15"/>
    <x v="1"/>
    <n v="16"/>
    <n v="1517426.4"/>
    <x v="0"/>
  </r>
  <r>
    <s v="C0084"/>
    <x v="5"/>
    <x v="7"/>
    <x v="9"/>
    <x v="2"/>
    <x v="0"/>
    <x v="1"/>
    <n v="45427.97"/>
    <x v="0"/>
    <n v="18"/>
    <n v="817703.46"/>
    <x v="0"/>
  </r>
  <r>
    <s v="C0085"/>
    <x v="4"/>
    <x v="11"/>
    <x v="5"/>
    <x v="2"/>
    <x v="3"/>
    <x v="1"/>
    <n v="92630.78"/>
    <x v="1"/>
    <n v="18"/>
    <n v="1667354.04"/>
    <x v="1"/>
  </r>
  <r>
    <s v="C0086"/>
    <x v="6"/>
    <x v="15"/>
    <x v="1"/>
    <x v="4"/>
    <x v="2"/>
    <x v="0"/>
    <n v="73510.91"/>
    <x v="0"/>
    <n v="14"/>
    <n v="1029152.74"/>
    <x v="0"/>
  </r>
  <r>
    <s v="C0087"/>
    <x v="4"/>
    <x v="17"/>
    <x v="3"/>
    <x v="3"/>
    <x v="2"/>
    <x v="1"/>
    <n v="68728.350000000006"/>
    <x v="0"/>
    <n v="10"/>
    <n v="687283.5"/>
    <x v="0"/>
  </r>
  <r>
    <s v="C0088"/>
    <x v="7"/>
    <x v="14"/>
    <x v="9"/>
    <x v="2"/>
    <x v="2"/>
    <x v="0"/>
    <n v="92417.23"/>
    <x v="1"/>
    <n v="0"/>
    <n v="0"/>
    <x v="2"/>
  </r>
  <r>
    <s v="C0089"/>
    <x v="2"/>
    <x v="2"/>
    <x v="2"/>
    <x v="0"/>
    <x v="1"/>
    <x v="1"/>
    <n v="33212.379999999997"/>
    <x v="0"/>
    <n v="14"/>
    <n v="464973.31999999995"/>
    <x v="1"/>
  </r>
  <r>
    <s v="C0090"/>
    <x v="5"/>
    <x v="15"/>
    <x v="1"/>
    <x v="4"/>
    <x v="1"/>
    <x v="0"/>
    <n v="17920.21"/>
    <x v="0"/>
    <n v="10"/>
    <n v="179202.09999999998"/>
    <x v="1"/>
  </r>
  <r>
    <s v="C0091"/>
    <x v="3"/>
    <x v="13"/>
    <x v="2"/>
    <x v="5"/>
    <x v="1"/>
    <x v="1"/>
    <n v="92699.73"/>
    <x v="1"/>
    <n v="8"/>
    <n v="741597.84"/>
    <x v="1"/>
  </r>
  <r>
    <s v="C0092"/>
    <x v="4"/>
    <x v="17"/>
    <x v="0"/>
    <x v="2"/>
    <x v="0"/>
    <x v="0"/>
    <n v="78374.899999999994"/>
    <x v="0"/>
    <n v="10"/>
    <n v="783749"/>
    <x v="0"/>
  </r>
  <r>
    <s v="C0093"/>
    <x v="3"/>
    <x v="13"/>
    <x v="1"/>
    <x v="1"/>
    <x v="1"/>
    <x v="1"/>
    <n v="86288.69"/>
    <x v="0"/>
    <n v="14"/>
    <n v="1208041.6600000001"/>
    <x v="2"/>
  </r>
  <r>
    <s v="C0094"/>
    <x v="1"/>
    <x v="1"/>
    <x v="0"/>
    <x v="4"/>
    <x v="2"/>
    <x v="0"/>
    <n v="35633.32"/>
    <x v="0"/>
    <n v="12"/>
    <n v="427599.83999999997"/>
    <x v="2"/>
  </r>
  <r>
    <s v="C0095"/>
    <x v="0"/>
    <x v="0"/>
    <x v="0"/>
    <x v="2"/>
    <x v="2"/>
    <x v="1"/>
    <n v="74054.31"/>
    <x v="0"/>
    <n v="3"/>
    <n v="222162.93"/>
    <x v="1"/>
  </r>
  <r>
    <s v="C0096"/>
    <x v="2"/>
    <x v="2"/>
    <x v="1"/>
    <x v="2"/>
    <x v="0"/>
    <x v="0"/>
    <n v="61660.65"/>
    <x v="0"/>
    <n v="1"/>
    <n v="61660.65"/>
    <x v="1"/>
  </r>
  <r>
    <s v="C0097"/>
    <x v="3"/>
    <x v="3"/>
    <x v="3"/>
    <x v="2"/>
    <x v="3"/>
    <x v="0"/>
    <n v="56746.29"/>
    <x v="0"/>
    <n v="4"/>
    <n v="226985.16"/>
    <x v="2"/>
  </r>
  <r>
    <s v="C0098"/>
    <x v="1"/>
    <x v="10"/>
    <x v="7"/>
    <x v="1"/>
    <x v="1"/>
    <x v="0"/>
    <n v="99875.13"/>
    <x v="1"/>
    <n v="17"/>
    <n v="1697877.21"/>
    <x v="1"/>
  </r>
  <r>
    <s v="C0099"/>
    <x v="3"/>
    <x v="13"/>
    <x v="2"/>
    <x v="3"/>
    <x v="3"/>
    <x v="0"/>
    <n v="38984.11"/>
    <x v="0"/>
    <n v="0"/>
    <n v="0"/>
    <x v="1"/>
  </r>
  <r>
    <s v="C0100"/>
    <x v="2"/>
    <x v="18"/>
    <x v="2"/>
    <x v="1"/>
    <x v="0"/>
    <x v="1"/>
    <n v="74108.179999999993"/>
    <x v="0"/>
    <n v="10"/>
    <n v="741081.79999999993"/>
    <x v="1"/>
  </r>
  <r>
    <s v="C0101"/>
    <x v="4"/>
    <x v="17"/>
    <x v="8"/>
    <x v="4"/>
    <x v="2"/>
    <x v="1"/>
    <n v="75529.64"/>
    <x v="0"/>
    <n v="11"/>
    <n v="830826.04"/>
    <x v="2"/>
  </r>
  <r>
    <s v="C0102"/>
    <x v="0"/>
    <x v="0"/>
    <x v="2"/>
    <x v="0"/>
    <x v="2"/>
    <x v="0"/>
    <n v="95035.77"/>
    <x v="1"/>
    <n v="10"/>
    <n v="950357.70000000007"/>
    <x v="2"/>
  </r>
  <r>
    <s v="C0103"/>
    <x v="2"/>
    <x v="9"/>
    <x v="1"/>
    <x v="0"/>
    <x v="2"/>
    <x v="1"/>
    <n v="33878.129999999997"/>
    <x v="0"/>
    <n v="5"/>
    <n v="169390.65"/>
    <x v="0"/>
  </r>
  <r>
    <s v="C0104"/>
    <x v="4"/>
    <x v="6"/>
    <x v="5"/>
    <x v="2"/>
    <x v="0"/>
    <x v="0"/>
    <n v="88830.31"/>
    <x v="0"/>
    <n v="3"/>
    <n v="266490.93"/>
    <x v="1"/>
  </r>
  <r>
    <s v="C0105"/>
    <x v="7"/>
    <x v="12"/>
    <x v="10"/>
    <x v="2"/>
    <x v="3"/>
    <x v="1"/>
    <n v="54845.1"/>
    <x v="0"/>
    <n v="12"/>
    <n v="658141.19999999995"/>
    <x v="2"/>
  </r>
  <r>
    <s v="C0106"/>
    <x v="5"/>
    <x v="15"/>
    <x v="0"/>
    <x v="2"/>
    <x v="0"/>
    <x v="0"/>
    <n v="57448.98"/>
    <x v="0"/>
    <n v="18"/>
    <n v="1034081.64"/>
    <x v="1"/>
  </r>
  <r>
    <s v="C0107"/>
    <x v="3"/>
    <x v="13"/>
    <x v="6"/>
    <x v="3"/>
    <x v="1"/>
    <x v="0"/>
    <n v="46740.58"/>
    <x v="0"/>
    <n v="14"/>
    <n v="654368.12"/>
    <x v="2"/>
  </r>
  <r>
    <s v="C0108"/>
    <x v="5"/>
    <x v="7"/>
    <x v="1"/>
    <x v="3"/>
    <x v="1"/>
    <x v="0"/>
    <n v="68415"/>
    <x v="0"/>
    <n v="14"/>
    <n v="957810"/>
    <x v="2"/>
  </r>
  <r>
    <s v="C0109"/>
    <x v="0"/>
    <x v="4"/>
    <x v="10"/>
    <x v="2"/>
    <x v="1"/>
    <x v="1"/>
    <n v="97204.59"/>
    <x v="1"/>
    <n v="0"/>
    <n v="0"/>
    <x v="1"/>
  </r>
  <r>
    <s v="C0110"/>
    <x v="2"/>
    <x v="18"/>
    <x v="2"/>
    <x v="3"/>
    <x v="0"/>
    <x v="1"/>
    <n v="40546.31"/>
    <x v="0"/>
    <n v="2"/>
    <n v="81092.62"/>
    <x v="0"/>
  </r>
  <r>
    <s v="C0111"/>
    <x v="7"/>
    <x v="12"/>
    <x v="4"/>
    <x v="5"/>
    <x v="0"/>
    <x v="0"/>
    <n v="96742.24"/>
    <x v="1"/>
    <n v="17"/>
    <n v="1644618.08"/>
    <x v="2"/>
  </r>
  <r>
    <s v="C0112"/>
    <x v="2"/>
    <x v="9"/>
    <x v="6"/>
    <x v="0"/>
    <x v="2"/>
    <x v="1"/>
    <n v="46778.03"/>
    <x v="0"/>
    <n v="10"/>
    <n v="467780.3"/>
    <x v="2"/>
  </r>
  <r>
    <s v="C0113"/>
    <x v="0"/>
    <x v="4"/>
    <x v="9"/>
    <x v="2"/>
    <x v="3"/>
    <x v="0"/>
    <n v="35194.67"/>
    <x v="0"/>
    <n v="6"/>
    <n v="211168.02"/>
    <x v="0"/>
  </r>
  <r>
    <s v="C0114"/>
    <x v="3"/>
    <x v="13"/>
    <x v="9"/>
    <x v="1"/>
    <x v="2"/>
    <x v="1"/>
    <n v="63367.44"/>
    <x v="0"/>
    <n v="16"/>
    <n v="1013879.04"/>
    <x v="0"/>
  </r>
  <r>
    <s v="C0115"/>
    <x v="1"/>
    <x v="10"/>
    <x v="8"/>
    <x v="0"/>
    <x v="1"/>
    <x v="1"/>
    <n v="98105.600000000006"/>
    <x v="1"/>
    <n v="17"/>
    <n v="1667795.2000000002"/>
    <x v="2"/>
  </r>
  <r>
    <s v="C0116"/>
    <x v="1"/>
    <x v="10"/>
    <x v="5"/>
    <x v="5"/>
    <x v="0"/>
    <x v="0"/>
    <n v="43309.15"/>
    <x v="0"/>
    <n v="0"/>
    <n v="0"/>
    <x v="1"/>
  </r>
  <r>
    <s v="C0117"/>
    <x v="0"/>
    <x v="19"/>
    <x v="4"/>
    <x v="3"/>
    <x v="0"/>
    <x v="1"/>
    <n v="25746.43"/>
    <x v="0"/>
    <n v="14"/>
    <n v="360450.02"/>
    <x v="1"/>
  </r>
  <r>
    <s v="C0118"/>
    <x v="5"/>
    <x v="16"/>
    <x v="0"/>
    <x v="0"/>
    <x v="0"/>
    <x v="0"/>
    <n v="77133.350000000006"/>
    <x v="0"/>
    <n v="13"/>
    <n v="1002733.55"/>
    <x v="2"/>
  </r>
  <r>
    <s v="C0119"/>
    <x v="4"/>
    <x v="17"/>
    <x v="2"/>
    <x v="5"/>
    <x v="2"/>
    <x v="1"/>
    <n v="23200.240000000002"/>
    <x v="0"/>
    <n v="17"/>
    <n v="394404.08"/>
    <x v="0"/>
  </r>
  <r>
    <s v="C0120"/>
    <x v="2"/>
    <x v="2"/>
    <x v="4"/>
    <x v="5"/>
    <x v="0"/>
    <x v="1"/>
    <n v="56469.05"/>
    <x v="0"/>
    <n v="2"/>
    <n v="112938.1"/>
    <x v="1"/>
  </r>
  <r>
    <s v="C0121"/>
    <x v="2"/>
    <x v="18"/>
    <x v="10"/>
    <x v="4"/>
    <x v="3"/>
    <x v="1"/>
    <n v="62501.37"/>
    <x v="0"/>
    <n v="20"/>
    <n v="1250027.4000000001"/>
    <x v="1"/>
  </r>
  <r>
    <s v="C0122"/>
    <x v="1"/>
    <x v="1"/>
    <x v="2"/>
    <x v="1"/>
    <x v="0"/>
    <x v="1"/>
    <n v="85848.09"/>
    <x v="0"/>
    <n v="20"/>
    <n v="1716961.7999999998"/>
    <x v="0"/>
  </r>
  <r>
    <s v="C0123"/>
    <x v="4"/>
    <x v="11"/>
    <x v="6"/>
    <x v="2"/>
    <x v="0"/>
    <x v="0"/>
    <n v="23630.560000000001"/>
    <x v="0"/>
    <n v="19"/>
    <n v="448980.64"/>
    <x v="1"/>
  </r>
  <r>
    <s v="C0124"/>
    <x v="2"/>
    <x v="18"/>
    <x v="8"/>
    <x v="1"/>
    <x v="3"/>
    <x v="1"/>
    <n v="44875.07"/>
    <x v="0"/>
    <n v="18"/>
    <n v="807751.26"/>
    <x v="1"/>
  </r>
  <r>
    <s v="C0125"/>
    <x v="1"/>
    <x v="8"/>
    <x v="7"/>
    <x v="4"/>
    <x v="1"/>
    <x v="0"/>
    <n v="35200.68"/>
    <x v="0"/>
    <n v="9"/>
    <n v="316806.12"/>
    <x v="0"/>
  </r>
  <r>
    <s v="C0126"/>
    <x v="2"/>
    <x v="18"/>
    <x v="9"/>
    <x v="2"/>
    <x v="1"/>
    <x v="0"/>
    <n v="67563.87"/>
    <x v="0"/>
    <n v="2"/>
    <n v="135127.74"/>
    <x v="2"/>
  </r>
  <r>
    <s v="C0127"/>
    <x v="0"/>
    <x v="0"/>
    <x v="3"/>
    <x v="0"/>
    <x v="3"/>
    <x v="1"/>
    <n v="93219.23"/>
    <x v="1"/>
    <n v="3"/>
    <n v="279657.69"/>
    <x v="1"/>
  </r>
  <r>
    <s v="C0128"/>
    <x v="7"/>
    <x v="20"/>
    <x v="1"/>
    <x v="3"/>
    <x v="3"/>
    <x v="1"/>
    <n v="84135.49"/>
    <x v="0"/>
    <n v="12"/>
    <n v="1009625.8800000001"/>
    <x v="0"/>
  </r>
  <r>
    <s v="C0129"/>
    <x v="7"/>
    <x v="12"/>
    <x v="4"/>
    <x v="1"/>
    <x v="2"/>
    <x v="0"/>
    <n v="95882.76"/>
    <x v="1"/>
    <n v="15"/>
    <n v="1438241.4"/>
    <x v="1"/>
  </r>
  <r>
    <s v="C0130"/>
    <x v="4"/>
    <x v="17"/>
    <x v="6"/>
    <x v="2"/>
    <x v="2"/>
    <x v="0"/>
    <n v="48149.33"/>
    <x v="0"/>
    <n v="6"/>
    <n v="288895.98"/>
    <x v="0"/>
  </r>
  <r>
    <s v="C0131"/>
    <x v="0"/>
    <x v="4"/>
    <x v="3"/>
    <x v="1"/>
    <x v="1"/>
    <x v="0"/>
    <n v="61924.42"/>
    <x v="0"/>
    <n v="9"/>
    <n v="557319.78"/>
    <x v="2"/>
  </r>
  <r>
    <s v="C0132"/>
    <x v="3"/>
    <x v="3"/>
    <x v="10"/>
    <x v="4"/>
    <x v="1"/>
    <x v="0"/>
    <n v="58245.71"/>
    <x v="0"/>
    <n v="19"/>
    <n v="1106668.49"/>
    <x v="1"/>
  </r>
  <r>
    <s v="C0133"/>
    <x v="7"/>
    <x v="12"/>
    <x v="5"/>
    <x v="5"/>
    <x v="3"/>
    <x v="1"/>
    <n v="20192.759999999998"/>
    <x v="0"/>
    <n v="7"/>
    <n v="141349.31999999998"/>
    <x v="1"/>
  </r>
  <r>
    <s v="C0134"/>
    <x v="0"/>
    <x v="0"/>
    <x v="4"/>
    <x v="3"/>
    <x v="3"/>
    <x v="0"/>
    <n v="51529.96"/>
    <x v="0"/>
    <n v="8"/>
    <n v="412239.68"/>
    <x v="2"/>
  </r>
  <r>
    <s v="C0135"/>
    <x v="4"/>
    <x v="6"/>
    <x v="8"/>
    <x v="2"/>
    <x v="2"/>
    <x v="0"/>
    <n v="55815.59"/>
    <x v="0"/>
    <n v="5"/>
    <n v="279077.94999999995"/>
    <x v="2"/>
  </r>
  <r>
    <s v="C0136"/>
    <x v="5"/>
    <x v="7"/>
    <x v="1"/>
    <x v="3"/>
    <x v="0"/>
    <x v="1"/>
    <n v="84503.94"/>
    <x v="0"/>
    <n v="20"/>
    <n v="1690078.8"/>
    <x v="2"/>
  </r>
  <r>
    <s v="C0137"/>
    <x v="5"/>
    <x v="16"/>
    <x v="4"/>
    <x v="4"/>
    <x v="0"/>
    <x v="1"/>
    <n v="49659.73"/>
    <x v="0"/>
    <n v="12"/>
    <n v="595916.76"/>
    <x v="2"/>
  </r>
  <r>
    <s v="C0138"/>
    <x v="0"/>
    <x v="0"/>
    <x v="9"/>
    <x v="1"/>
    <x v="2"/>
    <x v="0"/>
    <n v="71116.490000000005"/>
    <x v="0"/>
    <n v="7"/>
    <n v="497815.43000000005"/>
    <x v="2"/>
  </r>
  <r>
    <s v="C0139"/>
    <x v="1"/>
    <x v="1"/>
    <x v="1"/>
    <x v="2"/>
    <x v="3"/>
    <x v="0"/>
    <n v="63900.82"/>
    <x v="0"/>
    <n v="13"/>
    <n v="830710.66"/>
    <x v="0"/>
  </r>
  <r>
    <s v="C0140"/>
    <x v="5"/>
    <x v="16"/>
    <x v="3"/>
    <x v="0"/>
    <x v="2"/>
    <x v="1"/>
    <n v="22543.49"/>
    <x v="0"/>
    <n v="11"/>
    <n v="247978.39"/>
    <x v="2"/>
  </r>
  <r>
    <s v="C0141"/>
    <x v="1"/>
    <x v="10"/>
    <x v="10"/>
    <x v="3"/>
    <x v="1"/>
    <x v="1"/>
    <n v="49552.44"/>
    <x v="0"/>
    <n v="8"/>
    <n v="396419.52"/>
    <x v="1"/>
  </r>
  <r>
    <s v="C0142"/>
    <x v="3"/>
    <x v="13"/>
    <x v="4"/>
    <x v="1"/>
    <x v="3"/>
    <x v="0"/>
    <n v="39878.32"/>
    <x v="0"/>
    <n v="5"/>
    <n v="199391.6"/>
    <x v="0"/>
  </r>
  <r>
    <s v="C0143"/>
    <x v="5"/>
    <x v="16"/>
    <x v="1"/>
    <x v="0"/>
    <x v="1"/>
    <x v="1"/>
    <n v="97300.14"/>
    <x v="1"/>
    <n v="4"/>
    <n v="389200.56"/>
    <x v="2"/>
  </r>
  <r>
    <s v="C0144"/>
    <x v="5"/>
    <x v="15"/>
    <x v="6"/>
    <x v="5"/>
    <x v="1"/>
    <x v="0"/>
    <n v="71068.19"/>
    <x v="0"/>
    <n v="7"/>
    <n v="497477.33"/>
    <x v="2"/>
  </r>
  <r>
    <s v="C0145"/>
    <x v="4"/>
    <x v="6"/>
    <x v="1"/>
    <x v="1"/>
    <x v="0"/>
    <x v="1"/>
    <n v="89690.07"/>
    <x v="0"/>
    <n v="10"/>
    <n v="896900.70000000007"/>
    <x v="2"/>
  </r>
  <r>
    <s v="C0146"/>
    <x v="7"/>
    <x v="20"/>
    <x v="9"/>
    <x v="2"/>
    <x v="0"/>
    <x v="1"/>
    <n v="32150.03"/>
    <x v="0"/>
    <n v="14"/>
    <n v="450100.42"/>
    <x v="1"/>
  </r>
  <r>
    <s v="C0147"/>
    <x v="4"/>
    <x v="17"/>
    <x v="2"/>
    <x v="2"/>
    <x v="1"/>
    <x v="0"/>
    <n v="40101.919999999998"/>
    <x v="0"/>
    <n v="13"/>
    <n v="521324.95999999996"/>
    <x v="0"/>
  </r>
  <r>
    <s v="C0148"/>
    <x v="0"/>
    <x v="4"/>
    <x v="8"/>
    <x v="3"/>
    <x v="3"/>
    <x v="1"/>
    <n v="60714.01"/>
    <x v="0"/>
    <n v="13"/>
    <n v="789282.13"/>
    <x v="1"/>
  </r>
  <r>
    <s v="C0149"/>
    <x v="2"/>
    <x v="18"/>
    <x v="4"/>
    <x v="2"/>
    <x v="3"/>
    <x v="1"/>
    <n v="89010.17"/>
    <x v="0"/>
    <n v="18"/>
    <n v="1602183.06"/>
    <x v="0"/>
  </r>
  <r>
    <s v="C0150"/>
    <x v="3"/>
    <x v="13"/>
    <x v="7"/>
    <x v="1"/>
    <x v="0"/>
    <x v="1"/>
    <n v="78555.28"/>
    <x v="0"/>
    <n v="10"/>
    <n v="785552.8"/>
    <x v="0"/>
  </r>
  <r>
    <s v="C0151"/>
    <x v="3"/>
    <x v="3"/>
    <x v="7"/>
    <x v="3"/>
    <x v="0"/>
    <x v="1"/>
    <n v="44911.18"/>
    <x v="0"/>
    <n v="6"/>
    <n v="269467.08"/>
    <x v="2"/>
  </r>
  <r>
    <s v="C0152"/>
    <x v="3"/>
    <x v="5"/>
    <x v="10"/>
    <x v="0"/>
    <x v="2"/>
    <x v="0"/>
    <n v="18449.830000000002"/>
    <x v="0"/>
    <n v="1"/>
    <n v="18449.830000000002"/>
    <x v="2"/>
  </r>
  <r>
    <s v="C0153"/>
    <x v="7"/>
    <x v="14"/>
    <x v="4"/>
    <x v="5"/>
    <x v="2"/>
    <x v="0"/>
    <n v="86495.32"/>
    <x v="0"/>
    <n v="15"/>
    <n v="1297429.8"/>
    <x v="1"/>
  </r>
  <r>
    <s v="C0154"/>
    <x v="1"/>
    <x v="1"/>
    <x v="2"/>
    <x v="4"/>
    <x v="0"/>
    <x v="1"/>
    <n v="41195.199999999997"/>
    <x v="0"/>
    <n v="19"/>
    <n v="782708.79999999993"/>
    <x v="1"/>
  </r>
  <r>
    <s v="C0155"/>
    <x v="4"/>
    <x v="6"/>
    <x v="10"/>
    <x v="1"/>
    <x v="0"/>
    <x v="0"/>
    <n v="15064.15"/>
    <x v="0"/>
    <n v="16"/>
    <n v="241026.4"/>
    <x v="0"/>
  </r>
  <r>
    <s v="C0156"/>
    <x v="3"/>
    <x v="3"/>
    <x v="8"/>
    <x v="3"/>
    <x v="2"/>
    <x v="1"/>
    <n v="22779.54"/>
    <x v="0"/>
    <n v="13"/>
    <n v="296134.02"/>
    <x v="0"/>
  </r>
  <r>
    <s v="C0157"/>
    <x v="4"/>
    <x v="11"/>
    <x v="9"/>
    <x v="4"/>
    <x v="2"/>
    <x v="1"/>
    <n v="54478.11"/>
    <x v="0"/>
    <n v="5"/>
    <n v="272390.55"/>
    <x v="0"/>
  </r>
  <r>
    <s v="C0158"/>
    <x v="3"/>
    <x v="5"/>
    <x v="2"/>
    <x v="2"/>
    <x v="2"/>
    <x v="1"/>
    <n v="15564.23"/>
    <x v="0"/>
    <n v="18"/>
    <n v="280156.14"/>
    <x v="1"/>
  </r>
  <r>
    <s v="C0159"/>
    <x v="0"/>
    <x v="4"/>
    <x v="1"/>
    <x v="5"/>
    <x v="3"/>
    <x v="0"/>
    <n v="37017.339999999997"/>
    <x v="0"/>
    <n v="6"/>
    <n v="222104.03999999998"/>
    <x v="2"/>
  </r>
  <r>
    <s v="C0160"/>
    <x v="5"/>
    <x v="16"/>
    <x v="2"/>
    <x v="0"/>
    <x v="0"/>
    <x v="1"/>
    <n v="56409.55"/>
    <x v="0"/>
    <n v="20"/>
    <n v="1128191"/>
    <x v="2"/>
  </r>
  <r>
    <s v="C0161"/>
    <x v="4"/>
    <x v="6"/>
    <x v="4"/>
    <x v="4"/>
    <x v="0"/>
    <x v="1"/>
    <n v="26413.01"/>
    <x v="0"/>
    <n v="8"/>
    <n v="211304.08"/>
    <x v="1"/>
  </r>
  <r>
    <s v="C0162"/>
    <x v="2"/>
    <x v="2"/>
    <x v="8"/>
    <x v="3"/>
    <x v="1"/>
    <x v="1"/>
    <n v="53008.54"/>
    <x v="0"/>
    <n v="7"/>
    <n v="371059.78"/>
    <x v="0"/>
  </r>
  <r>
    <s v="C0163"/>
    <x v="1"/>
    <x v="10"/>
    <x v="5"/>
    <x v="3"/>
    <x v="3"/>
    <x v="1"/>
    <n v="46277.93"/>
    <x v="0"/>
    <n v="17"/>
    <n v="786724.81"/>
    <x v="1"/>
  </r>
  <r>
    <s v="C0164"/>
    <x v="1"/>
    <x v="8"/>
    <x v="0"/>
    <x v="2"/>
    <x v="0"/>
    <x v="0"/>
    <n v="42464.66"/>
    <x v="0"/>
    <n v="3"/>
    <n v="127393.98000000001"/>
    <x v="0"/>
  </r>
  <r>
    <s v="C0165"/>
    <x v="1"/>
    <x v="8"/>
    <x v="4"/>
    <x v="3"/>
    <x v="0"/>
    <x v="1"/>
    <n v="64280.26"/>
    <x v="0"/>
    <n v="17"/>
    <n v="1092764.42"/>
    <x v="1"/>
  </r>
  <r>
    <s v="C0166"/>
    <x v="1"/>
    <x v="10"/>
    <x v="10"/>
    <x v="2"/>
    <x v="0"/>
    <x v="0"/>
    <n v="44421.49"/>
    <x v="0"/>
    <n v="9"/>
    <n v="399793.41"/>
    <x v="2"/>
  </r>
  <r>
    <s v="C0167"/>
    <x v="4"/>
    <x v="17"/>
    <x v="6"/>
    <x v="4"/>
    <x v="2"/>
    <x v="0"/>
    <n v="56347.83"/>
    <x v="0"/>
    <n v="6"/>
    <n v="338086.98"/>
    <x v="0"/>
  </r>
  <r>
    <s v="C0168"/>
    <x v="0"/>
    <x v="0"/>
    <x v="1"/>
    <x v="3"/>
    <x v="3"/>
    <x v="1"/>
    <n v="34744.17"/>
    <x v="0"/>
    <n v="20"/>
    <n v="694883.39999999991"/>
    <x v="1"/>
  </r>
  <r>
    <s v="C0169"/>
    <x v="0"/>
    <x v="19"/>
    <x v="0"/>
    <x v="2"/>
    <x v="0"/>
    <x v="1"/>
    <n v="77945.94"/>
    <x v="0"/>
    <n v="1"/>
    <n v="77945.94"/>
    <x v="2"/>
  </r>
  <r>
    <s v="C0170"/>
    <x v="0"/>
    <x v="0"/>
    <x v="9"/>
    <x v="5"/>
    <x v="1"/>
    <x v="1"/>
    <n v="25733.99"/>
    <x v="0"/>
    <n v="14"/>
    <n v="360275.86000000004"/>
    <x v="2"/>
  </r>
  <r>
    <s v="C0171"/>
    <x v="1"/>
    <x v="10"/>
    <x v="9"/>
    <x v="0"/>
    <x v="0"/>
    <x v="0"/>
    <n v="23723.97"/>
    <x v="0"/>
    <n v="9"/>
    <n v="213515.73"/>
    <x v="1"/>
  </r>
  <r>
    <s v="C0172"/>
    <x v="4"/>
    <x v="6"/>
    <x v="8"/>
    <x v="3"/>
    <x v="2"/>
    <x v="1"/>
    <n v="25393.08"/>
    <x v="0"/>
    <n v="8"/>
    <n v="203144.64"/>
    <x v="2"/>
  </r>
  <r>
    <s v="C0173"/>
    <x v="0"/>
    <x v="0"/>
    <x v="5"/>
    <x v="1"/>
    <x v="0"/>
    <x v="0"/>
    <n v="57344.63"/>
    <x v="0"/>
    <n v="10"/>
    <n v="573446.29999999993"/>
    <x v="0"/>
  </r>
  <r>
    <s v="C0174"/>
    <x v="0"/>
    <x v="19"/>
    <x v="3"/>
    <x v="2"/>
    <x v="1"/>
    <x v="0"/>
    <n v="18521.5"/>
    <x v="0"/>
    <n v="12"/>
    <n v="222258"/>
    <x v="0"/>
  </r>
  <r>
    <s v="C0175"/>
    <x v="2"/>
    <x v="18"/>
    <x v="9"/>
    <x v="3"/>
    <x v="2"/>
    <x v="0"/>
    <n v="74816.25"/>
    <x v="0"/>
    <n v="19"/>
    <n v="1421508.75"/>
    <x v="1"/>
  </r>
  <r>
    <s v="C0176"/>
    <x v="5"/>
    <x v="7"/>
    <x v="10"/>
    <x v="5"/>
    <x v="2"/>
    <x v="1"/>
    <n v="95524.52"/>
    <x v="1"/>
    <n v="6"/>
    <n v="573147.12"/>
    <x v="1"/>
  </r>
  <r>
    <s v="C0177"/>
    <x v="5"/>
    <x v="15"/>
    <x v="6"/>
    <x v="0"/>
    <x v="0"/>
    <x v="0"/>
    <n v="94367.33"/>
    <x v="1"/>
    <n v="8"/>
    <n v="754938.64"/>
    <x v="1"/>
  </r>
  <r>
    <s v="C0178"/>
    <x v="7"/>
    <x v="14"/>
    <x v="3"/>
    <x v="2"/>
    <x v="0"/>
    <x v="0"/>
    <n v="77094.759999999995"/>
    <x v="0"/>
    <n v="6"/>
    <n v="462568.55999999994"/>
    <x v="2"/>
  </r>
  <r>
    <s v="C0179"/>
    <x v="2"/>
    <x v="18"/>
    <x v="5"/>
    <x v="3"/>
    <x v="0"/>
    <x v="1"/>
    <n v="43838.33"/>
    <x v="0"/>
    <n v="5"/>
    <n v="219191.65000000002"/>
    <x v="1"/>
  </r>
  <r>
    <s v="C0180"/>
    <x v="2"/>
    <x v="18"/>
    <x v="3"/>
    <x v="1"/>
    <x v="1"/>
    <x v="1"/>
    <n v="15712.77"/>
    <x v="0"/>
    <n v="19"/>
    <n v="298542.63"/>
    <x v="1"/>
  </r>
  <r>
    <s v="C0181"/>
    <x v="1"/>
    <x v="8"/>
    <x v="2"/>
    <x v="0"/>
    <x v="2"/>
    <x v="0"/>
    <n v="19270.259999999998"/>
    <x v="0"/>
    <n v="16"/>
    <n v="308324.15999999997"/>
    <x v="1"/>
  </r>
  <r>
    <s v="C0182"/>
    <x v="7"/>
    <x v="14"/>
    <x v="2"/>
    <x v="4"/>
    <x v="3"/>
    <x v="1"/>
    <n v="94592.91"/>
    <x v="1"/>
    <n v="16"/>
    <n v="1513486.56"/>
    <x v="0"/>
  </r>
  <r>
    <s v="C0182"/>
    <x v="7"/>
    <x v="14"/>
    <x v="2"/>
    <x v="4"/>
    <x v="3"/>
    <x v="1"/>
    <n v="94592.91"/>
    <x v="1"/>
    <n v="16"/>
    <n v="1513486.56"/>
    <x v="0"/>
  </r>
  <r>
    <s v="C0183"/>
    <x v="4"/>
    <x v="11"/>
    <x v="10"/>
    <x v="0"/>
    <x v="0"/>
    <x v="0"/>
    <n v="40162.15"/>
    <x v="0"/>
    <n v="3"/>
    <n v="120486.45000000001"/>
    <x v="0"/>
  </r>
  <r>
    <s v="C0184"/>
    <x v="7"/>
    <x v="20"/>
    <x v="8"/>
    <x v="2"/>
    <x v="2"/>
    <x v="0"/>
    <n v="90025.63"/>
    <x v="1"/>
    <n v="6"/>
    <n v="540153.78"/>
    <x v="2"/>
  </r>
  <r>
    <s v="C0185"/>
    <x v="3"/>
    <x v="13"/>
    <x v="8"/>
    <x v="3"/>
    <x v="1"/>
    <x v="0"/>
    <n v="22264.62"/>
    <x v="0"/>
    <n v="2"/>
    <n v="44529.24"/>
    <x v="0"/>
  </r>
  <r>
    <s v="C0186"/>
    <x v="5"/>
    <x v="16"/>
    <x v="4"/>
    <x v="4"/>
    <x v="3"/>
    <x v="0"/>
    <n v="95629"/>
    <x v="1"/>
    <n v="4"/>
    <n v="382516"/>
    <x v="0"/>
  </r>
  <r>
    <s v="C0187"/>
    <x v="3"/>
    <x v="13"/>
    <x v="6"/>
    <x v="5"/>
    <x v="1"/>
    <x v="0"/>
    <n v="62336.26"/>
    <x v="0"/>
    <n v="20"/>
    <n v="1246725.2"/>
    <x v="1"/>
  </r>
  <r>
    <s v="C0188"/>
    <x v="0"/>
    <x v="19"/>
    <x v="2"/>
    <x v="0"/>
    <x v="3"/>
    <x v="0"/>
    <n v="62762.83"/>
    <x v="0"/>
    <n v="8"/>
    <n v="502102.64"/>
    <x v="2"/>
  </r>
  <r>
    <s v="C0189"/>
    <x v="5"/>
    <x v="7"/>
    <x v="5"/>
    <x v="1"/>
    <x v="1"/>
    <x v="1"/>
    <n v="66184.259999999995"/>
    <x v="0"/>
    <n v="9"/>
    <n v="595658.34"/>
    <x v="0"/>
  </r>
  <r>
    <s v="C0190"/>
    <x v="5"/>
    <x v="15"/>
    <x v="0"/>
    <x v="1"/>
    <x v="0"/>
    <x v="1"/>
    <n v="42304.160000000003"/>
    <x v="0"/>
    <n v="9"/>
    <n v="380737.44000000006"/>
    <x v="1"/>
  </r>
  <r>
    <s v="C0191"/>
    <x v="2"/>
    <x v="2"/>
    <x v="3"/>
    <x v="3"/>
    <x v="0"/>
    <x v="1"/>
    <n v="42582.85"/>
    <x v="0"/>
    <n v="4"/>
    <n v="170331.4"/>
    <x v="0"/>
  </r>
  <r>
    <s v="C0192"/>
    <x v="2"/>
    <x v="18"/>
    <x v="8"/>
    <x v="3"/>
    <x v="3"/>
    <x v="1"/>
    <n v="92711.05"/>
    <x v="1"/>
    <n v="2"/>
    <n v="185422.1"/>
    <x v="2"/>
  </r>
  <r>
    <s v="C0193"/>
    <x v="0"/>
    <x v="0"/>
    <x v="5"/>
    <x v="5"/>
    <x v="0"/>
    <x v="1"/>
    <n v="91143.29"/>
    <x v="1"/>
    <n v="6"/>
    <n v="546859.74"/>
    <x v="0"/>
  </r>
  <r>
    <s v="C0194"/>
    <x v="5"/>
    <x v="15"/>
    <x v="5"/>
    <x v="0"/>
    <x v="1"/>
    <x v="1"/>
    <n v="47141.16"/>
    <x v="0"/>
    <n v="8"/>
    <n v="377129.28"/>
    <x v="1"/>
  </r>
  <r>
    <s v="C0195"/>
    <x v="1"/>
    <x v="10"/>
    <x v="5"/>
    <x v="3"/>
    <x v="3"/>
    <x v="1"/>
    <n v="36871.75"/>
    <x v="0"/>
    <n v="2"/>
    <n v="73743.5"/>
    <x v="0"/>
  </r>
  <r>
    <s v="C0196"/>
    <x v="3"/>
    <x v="5"/>
    <x v="6"/>
    <x v="0"/>
    <x v="0"/>
    <x v="0"/>
    <n v="44101.03"/>
    <x v="0"/>
    <n v="14"/>
    <n v="617414.41999999993"/>
    <x v="0"/>
  </r>
  <r>
    <s v="C0197"/>
    <x v="0"/>
    <x v="0"/>
    <x v="6"/>
    <x v="5"/>
    <x v="0"/>
    <x v="0"/>
    <n v="85571.95"/>
    <x v="0"/>
    <n v="18"/>
    <n v="1540295.0999999999"/>
    <x v="0"/>
  </r>
  <r>
    <s v="C0198"/>
    <x v="1"/>
    <x v="10"/>
    <x v="10"/>
    <x v="2"/>
    <x v="2"/>
    <x v="0"/>
    <n v="35439.69"/>
    <x v="0"/>
    <n v="12"/>
    <n v="425276.28"/>
    <x v="0"/>
  </r>
  <r>
    <s v="C0199"/>
    <x v="3"/>
    <x v="5"/>
    <x v="3"/>
    <x v="4"/>
    <x v="3"/>
    <x v="1"/>
    <n v="42536.49"/>
    <x v="0"/>
    <n v="4"/>
    <n v="170145.96"/>
    <x v="2"/>
  </r>
  <r>
    <s v="C0200"/>
    <x v="0"/>
    <x v="19"/>
    <x v="10"/>
    <x v="3"/>
    <x v="0"/>
    <x v="1"/>
    <n v="71249.59"/>
    <x v="0"/>
    <n v="20"/>
    <n v="1424991.7999999998"/>
    <x v="0"/>
  </r>
  <r>
    <s v="C0201"/>
    <x v="0"/>
    <x v="0"/>
    <x v="0"/>
    <x v="0"/>
    <x v="2"/>
    <x v="0"/>
    <n v="57000.19"/>
    <x v="0"/>
    <n v="17"/>
    <n v="969003.23"/>
    <x v="0"/>
  </r>
  <r>
    <s v="C0202"/>
    <x v="4"/>
    <x v="6"/>
    <x v="2"/>
    <x v="1"/>
    <x v="3"/>
    <x v="0"/>
    <n v="35182.93"/>
    <x v="0"/>
    <n v="8"/>
    <n v="281463.44"/>
    <x v="2"/>
  </r>
  <r>
    <s v="C0203"/>
    <x v="7"/>
    <x v="14"/>
    <x v="3"/>
    <x v="4"/>
    <x v="2"/>
    <x v="1"/>
    <n v="26695.21"/>
    <x v="0"/>
    <n v="0"/>
    <n v="0"/>
    <x v="1"/>
  </r>
  <r>
    <s v="C0204"/>
    <x v="1"/>
    <x v="8"/>
    <x v="1"/>
    <x v="1"/>
    <x v="1"/>
    <x v="1"/>
    <n v="19232.38"/>
    <x v="0"/>
    <n v="17"/>
    <n v="326950.46000000002"/>
    <x v="1"/>
  </r>
  <r>
    <s v="C0205"/>
    <x v="4"/>
    <x v="17"/>
    <x v="2"/>
    <x v="5"/>
    <x v="1"/>
    <x v="1"/>
    <n v="91063.54"/>
    <x v="1"/>
    <n v="9"/>
    <n v="819571.86"/>
    <x v="2"/>
  </r>
  <r>
    <s v="C0206"/>
    <x v="7"/>
    <x v="12"/>
    <x v="1"/>
    <x v="5"/>
    <x v="0"/>
    <x v="1"/>
    <n v="95801.7"/>
    <x v="1"/>
    <n v="1"/>
    <n v="95801.7"/>
    <x v="1"/>
  </r>
  <r>
    <s v="C0207"/>
    <x v="2"/>
    <x v="18"/>
    <x v="10"/>
    <x v="0"/>
    <x v="0"/>
    <x v="1"/>
    <n v="36900.28"/>
    <x v="0"/>
    <n v="8"/>
    <n v="295202.24"/>
    <x v="0"/>
  </r>
  <r>
    <s v="C0208"/>
    <x v="5"/>
    <x v="7"/>
    <x v="9"/>
    <x v="1"/>
    <x v="1"/>
    <x v="0"/>
    <n v="43449.599999999999"/>
    <x v="0"/>
    <n v="12"/>
    <n v="521395.19999999995"/>
    <x v="1"/>
  </r>
  <r>
    <s v="C0209"/>
    <x v="4"/>
    <x v="17"/>
    <x v="0"/>
    <x v="2"/>
    <x v="1"/>
    <x v="1"/>
    <n v="49027.17"/>
    <x v="0"/>
    <n v="20"/>
    <n v="980543.39999999991"/>
    <x v="2"/>
  </r>
  <r>
    <s v="C0210"/>
    <x v="1"/>
    <x v="8"/>
    <x v="4"/>
    <x v="3"/>
    <x v="1"/>
    <x v="0"/>
    <n v="74916.759999999995"/>
    <x v="0"/>
    <n v="13"/>
    <n v="973917.87999999989"/>
    <x v="0"/>
  </r>
  <r>
    <s v="C0211"/>
    <x v="0"/>
    <x v="0"/>
    <x v="2"/>
    <x v="5"/>
    <x v="3"/>
    <x v="0"/>
    <n v="68207.89"/>
    <x v="0"/>
    <n v="18"/>
    <n v="1227742.02"/>
    <x v="2"/>
  </r>
  <r>
    <s v="C0212"/>
    <x v="7"/>
    <x v="14"/>
    <x v="4"/>
    <x v="4"/>
    <x v="1"/>
    <x v="0"/>
    <n v="29137.93"/>
    <x v="0"/>
    <n v="1"/>
    <n v="29137.93"/>
    <x v="0"/>
  </r>
  <r>
    <s v="C0213"/>
    <x v="0"/>
    <x v="19"/>
    <x v="2"/>
    <x v="0"/>
    <x v="1"/>
    <x v="0"/>
    <n v="86747.54"/>
    <x v="0"/>
    <n v="8"/>
    <n v="693980.32"/>
    <x v="0"/>
  </r>
  <r>
    <s v="C0214"/>
    <x v="0"/>
    <x v="4"/>
    <x v="0"/>
    <x v="5"/>
    <x v="3"/>
    <x v="0"/>
    <n v="64961.25"/>
    <x v="0"/>
    <n v="6"/>
    <n v="389767.5"/>
    <x v="2"/>
  </r>
  <r>
    <s v="C0215"/>
    <x v="7"/>
    <x v="14"/>
    <x v="9"/>
    <x v="4"/>
    <x v="1"/>
    <x v="1"/>
    <n v="56252.800000000003"/>
    <x v="0"/>
    <n v="20"/>
    <n v="1125056"/>
    <x v="2"/>
  </r>
  <r>
    <s v="C0216"/>
    <x v="5"/>
    <x v="15"/>
    <x v="3"/>
    <x v="1"/>
    <x v="2"/>
    <x v="0"/>
    <n v="66993.77"/>
    <x v="0"/>
    <n v="20"/>
    <n v="1339875.4000000001"/>
    <x v="0"/>
  </r>
  <r>
    <s v="C0217"/>
    <x v="7"/>
    <x v="20"/>
    <x v="3"/>
    <x v="4"/>
    <x v="1"/>
    <x v="1"/>
    <n v="54557.440000000002"/>
    <x v="0"/>
    <n v="6"/>
    <n v="327344.64000000001"/>
    <x v="1"/>
  </r>
  <r>
    <s v="C0218"/>
    <x v="7"/>
    <x v="12"/>
    <x v="2"/>
    <x v="1"/>
    <x v="1"/>
    <x v="0"/>
    <n v="18998.57"/>
    <x v="0"/>
    <n v="10"/>
    <n v="189985.7"/>
    <x v="0"/>
  </r>
  <r>
    <s v="C0219"/>
    <x v="4"/>
    <x v="17"/>
    <x v="5"/>
    <x v="0"/>
    <x v="3"/>
    <x v="0"/>
    <n v="36444.239999999998"/>
    <x v="0"/>
    <n v="2"/>
    <n v="72888.479999999996"/>
    <x v="0"/>
  </r>
  <r>
    <s v="C0220"/>
    <x v="0"/>
    <x v="0"/>
    <x v="6"/>
    <x v="2"/>
    <x v="0"/>
    <x v="1"/>
    <n v="27036.18"/>
    <x v="0"/>
    <n v="0"/>
    <n v="0"/>
    <x v="2"/>
  </r>
  <r>
    <s v="C0221"/>
    <x v="0"/>
    <x v="0"/>
    <x v="4"/>
    <x v="2"/>
    <x v="3"/>
    <x v="0"/>
    <n v="32320.79"/>
    <x v="0"/>
    <n v="14"/>
    <n v="452491.06"/>
    <x v="2"/>
  </r>
  <r>
    <s v="C0222"/>
    <x v="1"/>
    <x v="8"/>
    <x v="5"/>
    <x v="0"/>
    <x v="3"/>
    <x v="0"/>
    <n v="35547.410000000003"/>
    <x v="0"/>
    <n v="0"/>
    <n v="0"/>
    <x v="0"/>
  </r>
  <r>
    <s v="C0223"/>
    <x v="1"/>
    <x v="8"/>
    <x v="5"/>
    <x v="2"/>
    <x v="0"/>
    <x v="1"/>
    <n v="66030.95"/>
    <x v="0"/>
    <n v="5"/>
    <n v="330154.75"/>
    <x v="1"/>
  </r>
  <r>
    <s v="C0224"/>
    <x v="5"/>
    <x v="15"/>
    <x v="10"/>
    <x v="5"/>
    <x v="1"/>
    <x v="1"/>
    <n v="17316.68"/>
    <x v="0"/>
    <n v="19"/>
    <n v="329016.92"/>
    <x v="0"/>
  </r>
  <r>
    <s v="C0225"/>
    <x v="1"/>
    <x v="8"/>
    <x v="1"/>
    <x v="1"/>
    <x v="0"/>
    <x v="0"/>
    <n v="30317.47"/>
    <x v="0"/>
    <n v="18"/>
    <n v="545714.46"/>
    <x v="2"/>
  </r>
  <r>
    <s v="C0226"/>
    <x v="4"/>
    <x v="17"/>
    <x v="4"/>
    <x v="2"/>
    <x v="3"/>
    <x v="1"/>
    <n v="73197.25"/>
    <x v="0"/>
    <n v="6"/>
    <n v="439183.5"/>
    <x v="0"/>
  </r>
  <r>
    <s v="C0227"/>
    <x v="5"/>
    <x v="7"/>
    <x v="8"/>
    <x v="2"/>
    <x v="2"/>
    <x v="0"/>
    <n v="33511.99"/>
    <x v="0"/>
    <n v="10"/>
    <n v="335119.89999999997"/>
    <x v="1"/>
  </r>
  <r>
    <s v="C0228"/>
    <x v="0"/>
    <x v="19"/>
    <x v="6"/>
    <x v="3"/>
    <x v="0"/>
    <x v="1"/>
    <n v="80597.19"/>
    <x v="0"/>
    <n v="0"/>
    <n v="0"/>
    <x v="2"/>
  </r>
  <r>
    <s v="C0229"/>
    <x v="7"/>
    <x v="14"/>
    <x v="10"/>
    <x v="5"/>
    <x v="0"/>
    <x v="1"/>
    <n v="49689.9"/>
    <x v="0"/>
    <n v="18"/>
    <n v="894418.20000000007"/>
    <x v="0"/>
  </r>
  <r>
    <s v="C0230"/>
    <x v="5"/>
    <x v="7"/>
    <x v="4"/>
    <x v="1"/>
    <x v="2"/>
    <x v="0"/>
    <n v="75684.259999999995"/>
    <x v="0"/>
    <n v="17"/>
    <n v="1286632.42"/>
    <x v="1"/>
  </r>
  <r>
    <s v="C0231"/>
    <x v="0"/>
    <x v="0"/>
    <x v="9"/>
    <x v="2"/>
    <x v="0"/>
    <x v="1"/>
    <n v="41318.81"/>
    <x v="0"/>
    <n v="17"/>
    <n v="702419.77"/>
    <x v="0"/>
  </r>
  <r>
    <s v="C0232"/>
    <x v="4"/>
    <x v="17"/>
    <x v="2"/>
    <x v="3"/>
    <x v="3"/>
    <x v="0"/>
    <n v="93984.87"/>
    <x v="1"/>
    <n v="17"/>
    <n v="1597742.79"/>
    <x v="1"/>
  </r>
  <r>
    <s v="C0233"/>
    <x v="0"/>
    <x v="19"/>
    <x v="4"/>
    <x v="1"/>
    <x v="1"/>
    <x v="0"/>
    <n v="34356.67"/>
    <x v="0"/>
    <n v="15"/>
    <n v="515350.05"/>
    <x v="0"/>
  </r>
  <r>
    <s v="C0234"/>
    <x v="2"/>
    <x v="2"/>
    <x v="10"/>
    <x v="3"/>
    <x v="3"/>
    <x v="0"/>
    <n v="78320.67"/>
    <x v="0"/>
    <n v="11"/>
    <n v="861527.37"/>
    <x v="0"/>
  </r>
  <r>
    <s v="C0235"/>
    <x v="7"/>
    <x v="20"/>
    <x v="9"/>
    <x v="4"/>
    <x v="0"/>
    <x v="0"/>
    <n v="40425.82"/>
    <x v="0"/>
    <n v="2"/>
    <n v="80851.64"/>
    <x v="2"/>
  </r>
  <r>
    <s v="C0236"/>
    <x v="4"/>
    <x v="17"/>
    <x v="1"/>
    <x v="4"/>
    <x v="1"/>
    <x v="1"/>
    <n v="99664.31"/>
    <x v="1"/>
    <n v="14"/>
    <n v="1395300.3399999999"/>
    <x v="2"/>
  </r>
  <r>
    <s v="C0237"/>
    <x v="4"/>
    <x v="17"/>
    <x v="2"/>
    <x v="1"/>
    <x v="2"/>
    <x v="1"/>
    <n v="92692.93"/>
    <x v="1"/>
    <n v="6"/>
    <n v="556157.57999999996"/>
    <x v="1"/>
  </r>
  <r>
    <s v="C0238"/>
    <x v="5"/>
    <x v="15"/>
    <x v="10"/>
    <x v="3"/>
    <x v="1"/>
    <x v="0"/>
    <n v="23452.33"/>
    <x v="0"/>
    <n v="16"/>
    <n v="375237.28"/>
    <x v="0"/>
  </r>
  <r>
    <s v="C0239"/>
    <x v="0"/>
    <x v="0"/>
    <x v="1"/>
    <x v="1"/>
    <x v="1"/>
    <x v="0"/>
    <n v="84197.99"/>
    <x v="0"/>
    <n v="14"/>
    <n v="1178771.8600000001"/>
    <x v="0"/>
  </r>
  <r>
    <s v="C0240"/>
    <x v="5"/>
    <x v="15"/>
    <x v="3"/>
    <x v="4"/>
    <x v="1"/>
    <x v="1"/>
    <n v="56336.78"/>
    <x v="0"/>
    <n v="0"/>
    <n v="0"/>
    <x v="2"/>
  </r>
  <r>
    <s v="C0241"/>
    <x v="0"/>
    <x v="4"/>
    <x v="2"/>
    <x v="0"/>
    <x v="2"/>
    <x v="0"/>
    <n v="48576.42"/>
    <x v="0"/>
    <n v="10"/>
    <n v="485764.19999999995"/>
    <x v="0"/>
  </r>
  <r>
    <s v="C0242"/>
    <x v="1"/>
    <x v="10"/>
    <x v="2"/>
    <x v="0"/>
    <x v="0"/>
    <x v="0"/>
    <n v="68211.039999999994"/>
    <x v="0"/>
    <n v="0"/>
    <n v="0"/>
    <x v="0"/>
  </r>
  <r>
    <s v="C0243"/>
    <x v="1"/>
    <x v="8"/>
    <x v="2"/>
    <x v="4"/>
    <x v="2"/>
    <x v="0"/>
    <n v="63692.99"/>
    <x v="0"/>
    <n v="3"/>
    <n v="191078.97"/>
    <x v="1"/>
  </r>
  <r>
    <s v="C0244"/>
    <x v="1"/>
    <x v="10"/>
    <x v="3"/>
    <x v="1"/>
    <x v="2"/>
    <x v="1"/>
    <n v="67286.720000000001"/>
    <x v="0"/>
    <n v="4"/>
    <n v="269146.88"/>
    <x v="0"/>
  </r>
  <r>
    <s v="C0245"/>
    <x v="4"/>
    <x v="11"/>
    <x v="6"/>
    <x v="5"/>
    <x v="3"/>
    <x v="0"/>
    <n v="59861.26"/>
    <x v="0"/>
    <n v="16"/>
    <n v="957780.16"/>
    <x v="0"/>
  </r>
  <r>
    <s v="C0246"/>
    <x v="4"/>
    <x v="6"/>
    <x v="8"/>
    <x v="5"/>
    <x v="2"/>
    <x v="1"/>
    <n v="70409.5"/>
    <x v="0"/>
    <n v="20"/>
    <n v="1408190"/>
    <x v="0"/>
  </r>
  <r>
    <s v="C0247"/>
    <x v="4"/>
    <x v="17"/>
    <x v="10"/>
    <x v="1"/>
    <x v="0"/>
    <x v="0"/>
    <n v="45148.19"/>
    <x v="0"/>
    <n v="2"/>
    <n v="90296.38"/>
    <x v="0"/>
  </r>
  <r>
    <s v="C0248"/>
    <x v="2"/>
    <x v="2"/>
    <x v="4"/>
    <x v="3"/>
    <x v="2"/>
    <x v="1"/>
    <n v="72386.63"/>
    <x v="0"/>
    <n v="14"/>
    <n v="1013412.8200000001"/>
    <x v="1"/>
  </r>
  <r>
    <s v="C0249"/>
    <x v="3"/>
    <x v="13"/>
    <x v="6"/>
    <x v="2"/>
    <x v="0"/>
    <x v="1"/>
    <n v="65306.64"/>
    <x v="0"/>
    <n v="16"/>
    <n v="1044906.24"/>
    <x v="0"/>
  </r>
  <r>
    <s v="C0250"/>
    <x v="2"/>
    <x v="2"/>
    <x v="5"/>
    <x v="3"/>
    <x v="3"/>
    <x v="0"/>
    <n v="80442.75"/>
    <x v="0"/>
    <n v="12"/>
    <n v="965313"/>
    <x v="0"/>
  </r>
  <r>
    <s v="C0251"/>
    <x v="3"/>
    <x v="3"/>
    <x v="7"/>
    <x v="0"/>
    <x v="2"/>
    <x v="1"/>
    <n v="77125.679999999993"/>
    <x v="0"/>
    <n v="5"/>
    <n v="385628.39999999997"/>
    <x v="0"/>
  </r>
  <r>
    <s v="C0252"/>
    <x v="7"/>
    <x v="20"/>
    <x v="8"/>
    <x v="1"/>
    <x v="1"/>
    <x v="1"/>
    <n v="65579.25"/>
    <x v="0"/>
    <n v="4"/>
    <n v="262317"/>
    <x v="0"/>
  </r>
  <r>
    <s v="C0253"/>
    <x v="2"/>
    <x v="18"/>
    <x v="0"/>
    <x v="0"/>
    <x v="0"/>
    <x v="0"/>
    <n v="40904.29"/>
    <x v="0"/>
    <n v="14"/>
    <n v="572660.06000000006"/>
    <x v="1"/>
  </r>
  <r>
    <s v="C0254"/>
    <x v="5"/>
    <x v="16"/>
    <x v="3"/>
    <x v="1"/>
    <x v="3"/>
    <x v="0"/>
    <n v="34442.589999999997"/>
    <x v="0"/>
    <n v="10"/>
    <n v="344425.89999999997"/>
    <x v="1"/>
  </r>
  <r>
    <s v="C0255"/>
    <x v="5"/>
    <x v="15"/>
    <x v="3"/>
    <x v="5"/>
    <x v="0"/>
    <x v="0"/>
    <n v="16073.13"/>
    <x v="0"/>
    <n v="0"/>
    <n v="0"/>
    <x v="1"/>
  </r>
  <r>
    <s v="C0256"/>
    <x v="2"/>
    <x v="2"/>
    <x v="1"/>
    <x v="3"/>
    <x v="3"/>
    <x v="1"/>
    <n v="69403.31"/>
    <x v="0"/>
    <n v="19"/>
    <n v="1318662.8899999999"/>
    <x v="0"/>
  </r>
  <r>
    <s v="C0257"/>
    <x v="5"/>
    <x v="7"/>
    <x v="9"/>
    <x v="1"/>
    <x v="3"/>
    <x v="1"/>
    <n v="36852.07"/>
    <x v="0"/>
    <n v="3"/>
    <n v="110556.20999999999"/>
    <x v="2"/>
  </r>
  <r>
    <s v="C0258"/>
    <x v="0"/>
    <x v="19"/>
    <x v="0"/>
    <x v="5"/>
    <x v="1"/>
    <x v="0"/>
    <n v="76450.539999999994"/>
    <x v="0"/>
    <n v="0"/>
    <n v="0"/>
    <x v="0"/>
  </r>
  <r>
    <s v="C0259"/>
    <x v="7"/>
    <x v="12"/>
    <x v="9"/>
    <x v="5"/>
    <x v="3"/>
    <x v="1"/>
    <n v="15432.72"/>
    <x v="0"/>
    <n v="0"/>
    <n v="0"/>
    <x v="0"/>
  </r>
  <r>
    <s v="C0260"/>
    <x v="1"/>
    <x v="8"/>
    <x v="9"/>
    <x v="5"/>
    <x v="2"/>
    <x v="0"/>
    <n v="75764.509999999995"/>
    <x v="0"/>
    <n v="2"/>
    <n v="151529.01999999999"/>
    <x v="2"/>
  </r>
  <r>
    <s v="C0261"/>
    <x v="1"/>
    <x v="10"/>
    <x v="10"/>
    <x v="4"/>
    <x v="2"/>
    <x v="0"/>
    <n v="60188.37"/>
    <x v="0"/>
    <n v="19"/>
    <n v="1143579.03"/>
    <x v="1"/>
  </r>
  <r>
    <s v="C0262"/>
    <x v="2"/>
    <x v="18"/>
    <x v="7"/>
    <x v="0"/>
    <x v="3"/>
    <x v="0"/>
    <n v="15731.73"/>
    <x v="0"/>
    <n v="20"/>
    <n v="314634.59999999998"/>
    <x v="1"/>
  </r>
  <r>
    <s v="C0263"/>
    <x v="3"/>
    <x v="3"/>
    <x v="10"/>
    <x v="2"/>
    <x v="2"/>
    <x v="1"/>
    <n v="82694.399999999994"/>
    <x v="0"/>
    <n v="16"/>
    <n v="1323110.3999999999"/>
    <x v="2"/>
  </r>
  <r>
    <s v="C0264"/>
    <x v="1"/>
    <x v="1"/>
    <x v="1"/>
    <x v="4"/>
    <x v="2"/>
    <x v="1"/>
    <n v="70040.25"/>
    <x v="0"/>
    <n v="6"/>
    <n v="420241.5"/>
    <x v="1"/>
  </r>
  <r>
    <s v="C0265"/>
    <x v="7"/>
    <x v="20"/>
    <x v="2"/>
    <x v="3"/>
    <x v="0"/>
    <x v="1"/>
    <n v="29781.09"/>
    <x v="0"/>
    <n v="13"/>
    <n v="387154.17"/>
    <x v="1"/>
  </r>
  <r>
    <s v="C0266"/>
    <x v="1"/>
    <x v="10"/>
    <x v="5"/>
    <x v="2"/>
    <x v="2"/>
    <x v="0"/>
    <n v="24742.94"/>
    <x v="0"/>
    <n v="0"/>
    <n v="0"/>
    <x v="0"/>
  </r>
  <r>
    <s v="C0267"/>
    <x v="5"/>
    <x v="16"/>
    <x v="9"/>
    <x v="2"/>
    <x v="1"/>
    <x v="1"/>
    <n v="40159.410000000003"/>
    <x v="0"/>
    <n v="0"/>
    <n v="0"/>
    <x v="2"/>
  </r>
  <r>
    <s v="C0268"/>
    <x v="5"/>
    <x v="15"/>
    <x v="10"/>
    <x v="2"/>
    <x v="1"/>
    <x v="1"/>
    <n v="77897.88"/>
    <x v="0"/>
    <n v="1"/>
    <n v="77897.88"/>
    <x v="0"/>
  </r>
  <r>
    <s v="C0269"/>
    <x v="2"/>
    <x v="2"/>
    <x v="8"/>
    <x v="3"/>
    <x v="1"/>
    <x v="0"/>
    <n v="52804.45"/>
    <x v="0"/>
    <n v="11"/>
    <n v="580848.94999999995"/>
    <x v="0"/>
  </r>
  <r>
    <s v="C0270"/>
    <x v="1"/>
    <x v="1"/>
    <x v="9"/>
    <x v="5"/>
    <x v="1"/>
    <x v="1"/>
    <n v="76670.69"/>
    <x v="0"/>
    <n v="3"/>
    <n v="230012.07"/>
    <x v="1"/>
  </r>
  <r>
    <s v="C0271"/>
    <x v="2"/>
    <x v="2"/>
    <x v="4"/>
    <x v="3"/>
    <x v="3"/>
    <x v="0"/>
    <n v="60403.39"/>
    <x v="0"/>
    <n v="20"/>
    <n v="1208067.8"/>
    <x v="2"/>
  </r>
  <r>
    <s v="C0272"/>
    <x v="5"/>
    <x v="16"/>
    <x v="3"/>
    <x v="3"/>
    <x v="1"/>
    <x v="1"/>
    <n v="36261.58"/>
    <x v="0"/>
    <n v="13"/>
    <n v="471400.54000000004"/>
    <x v="2"/>
  </r>
  <r>
    <s v="C0273"/>
    <x v="4"/>
    <x v="17"/>
    <x v="1"/>
    <x v="4"/>
    <x v="2"/>
    <x v="0"/>
    <n v="97569.91"/>
    <x v="1"/>
    <n v="16"/>
    <n v="1561118.56"/>
    <x v="0"/>
  </r>
  <r>
    <s v="C0274"/>
    <x v="2"/>
    <x v="9"/>
    <x v="8"/>
    <x v="4"/>
    <x v="1"/>
    <x v="1"/>
    <n v="94691.22"/>
    <x v="1"/>
    <n v="17"/>
    <n v="1609750.74"/>
    <x v="2"/>
  </r>
  <r>
    <s v="C0275"/>
    <x v="5"/>
    <x v="7"/>
    <x v="7"/>
    <x v="4"/>
    <x v="1"/>
    <x v="1"/>
    <n v="44753.36"/>
    <x v="0"/>
    <n v="11"/>
    <n v="492286.96"/>
    <x v="2"/>
  </r>
  <r>
    <s v="C0276"/>
    <x v="2"/>
    <x v="18"/>
    <x v="3"/>
    <x v="1"/>
    <x v="0"/>
    <x v="0"/>
    <n v="50703.33"/>
    <x v="0"/>
    <n v="4"/>
    <n v="202813.32"/>
    <x v="1"/>
  </r>
  <r>
    <s v="C0277"/>
    <x v="2"/>
    <x v="2"/>
    <x v="4"/>
    <x v="2"/>
    <x v="2"/>
    <x v="0"/>
    <n v="34255.919999999998"/>
    <x v="0"/>
    <n v="2"/>
    <n v="68511.839999999997"/>
    <x v="0"/>
  </r>
  <r>
    <s v="C0278"/>
    <x v="2"/>
    <x v="9"/>
    <x v="4"/>
    <x v="4"/>
    <x v="0"/>
    <x v="1"/>
    <n v="84961.77"/>
    <x v="0"/>
    <n v="2"/>
    <n v="169923.54"/>
    <x v="2"/>
  </r>
  <r>
    <s v="C0279"/>
    <x v="7"/>
    <x v="20"/>
    <x v="8"/>
    <x v="0"/>
    <x v="1"/>
    <x v="0"/>
    <n v="85933.119999999995"/>
    <x v="0"/>
    <n v="18"/>
    <n v="1546796.16"/>
    <x v="2"/>
  </r>
  <r>
    <s v="C0280"/>
    <x v="1"/>
    <x v="1"/>
    <x v="8"/>
    <x v="1"/>
    <x v="1"/>
    <x v="0"/>
    <n v="15390.95"/>
    <x v="0"/>
    <n v="18"/>
    <n v="277037.10000000003"/>
    <x v="1"/>
  </r>
  <r>
    <s v="C0281"/>
    <x v="1"/>
    <x v="8"/>
    <x v="5"/>
    <x v="5"/>
    <x v="0"/>
    <x v="1"/>
    <n v="64085.760000000002"/>
    <x v="0"/>
    <n v="0"/>
    <n v="0"/>
    <x v="2"/>
  </r>
  <r>
    <s v="C0282"/>
    <x v="4"/>
    <x v="11"/>
    <x v="7"/>
    <x v="1"/>
    <x v="2"/>
    <x v="0"/>
    <n v="68812.78"/>
    <x v="0"/>
    <n v="14"/>
    <n v="963378.91999999993"/>
    <x v="1"/>
  </r>
  <r>
    <s v="C0283"/>
    <x v="0"/>
    <x v="0"/>
    <x v="10"/>
    <x v="2"/>
    <x v="2"/>
    <x v="1"/>
    <n v="28195.4"/>
    <x v="0"/>
    <n v="17"/>
    <n v="479321.80000000005"/>
    <x v="2"/>
  </r>
  <r>
    <s v="C0284"/>
    <x v="4"/>
    <x v="6"/>
    <x v="10"/>
    <x v="1"/>
    <x v="1"/>
    <x v="0"/>
    <n v="51668.13"/>
    <x v="0"/>
    <n v="9"/>
    <n v="465013.17"/>
    <x v="1"/>
  </r>
  <r>
    <s v="C0285"/>
    <x v="7"/>
    <x v="14"/>
    <x v="7"/>
    <x v="2"/>
    <x v="3"/>
    <x v="1"/>
    <n v="16765.09"/>
    <x v="0"/>
    <n v="19"/>
    <n v="318536.71000000002"/>
    <x v="2"/>
  </r>
  <r>
    <s v="C0286"/>
    <x v="2"/>
    <x v="18"/>
    <x v="3"/>
    <x v="4"/>
    <x v="2"/>
    <x v="1"/>
    <n v="59081.2"/>
    <x v="0"/>
    <n v="7"/>
    <n v="413568.39999999997"/>
    <x v="2"/>
  </r>
  <r>
    <s v="C0287"/>
    <x v="3"/>
    <x v="3"/>
    <x v="9"/>
    <x v="3"/>
    <x v="3"/>
    <x v="0"/>
    <n v="52822.73"/>
    <x v="0"/>
    <n v="0"/>
    <n v="0"/>
    <x v="2"/>
  </r>
  <r>
    <s v="C0288"/>
    <x v="5"/>
    <x v="7"/>
    <x v="2"/>
    <x v="5"/>
    <x v="3"/>
    <x v="0"/>
    <n v="79631.09"/>
    <x v="0"/>
    <n v="14"/>
    <n v="1114835.26"/>
    <x v="2"/>
  </r>
  <r>
    <s v="C0289"/>
    <x v="1"/>
    <x v="1"/>
    <x v="3"/>
    <x v="2"/>
    <x v="3"/>
    <x v="0"/>
    <n v="29872.799999999999"/>
    <x v="0"/>
    <n v="17"/>
    <n v="507837.6"/>
    <x v="1"/>
  </r>
  <r>
    <s v="C0290"/>
    <x v="4"/>
    <x v="17"/>
    <x v="10"/>
    <x v="1"/>
    <x v="3"/>
    <x v="0"/>
    <n v="99707.28"/>
    <x v="1"/>
    <n v="19"/>
    <n v="1894438.32"/>
    <x v="0"/>
  </r>
  <r>
    <s v="C0291"/>
    <x v="7"/>
    <x v="12"/>
    <x v="2"/>
    <x v="4"/>
    <x v="3"/>
    <x v="1"/>
    <n v="76715.08"/>
    <x v="0"/>
    <n v="11"/>
    <n v="843865.88"/>
    <x v="2"/>
  </r>
  <r>
    <s v="C0292"/>
    <x v="3"/>
    <x v="5"/>
    <x v="10"/>
    <x v="1"/>
    <x v="3"/>
    <x v="0"/>
    <n v="79140.179999999993"/>
    <x v="0"/>
    <n v="9"/>
    <n v="712261.61999999988"/>
    <x v="2"/>
  </r>
  <r>
    <s v="C0293"/>
    <x v="5"/>
    <x v="7"/>
    <x v="8"/>
    <x v="2"/>
    <x v="1"/>
    <x v="0"/>
    <n v="69114.77"/>
    <x v="0"/>
    <n v="16"/>
    <n v="1105836.32"/>
    <x v="0"/>
  </r>
  <r>
    <s v="C0294"/>
    <x v="2"/>
    <x v="18"/>
    <x v="5"/>
    <x v="4"/>
    <x v="1"/>
    <x v="0"/>
    <n v="50422.080000000002"/>
    <x v="0"/>
    <n v="13"/>
    <n v="655487.04"/>
    <x v="1"/>
  </r>
  <r>
    <s v="C0295"/>
    <x v="3"/>
    <x v="5"/>
    <x v="3"/>
    <x v="1"/>
    <x v="2"/>
    <x v="1"/>
    <n v="97629.5"/>
    <x v="1"/>
    <n v="9"/>
    <n v="878665.5"/>
    <x v="2"/>
  </r>
  <r>
    <s v="C0296"/>
    <x v="2"/>
    <x v="2"/>
    <x v="1"/>
    <x v="2"/>
    <x v="0"/>
    <x v="0"/>
    <n v="36488.89"/>
    <x v="0"/>
    <n v="4"/>
    <n v="145955.56"/>
    <x v="0"/>
  </r>
  <r>
    <s v="C0297"/>
    <x v="3"/>
    <x v="13"/>
    <x v="0"/>
    <x v="1"/>
    <x v="1"/>
    <x v="1"/>
    <n v="83331.899999999994"/>
    <x v="0"/>
    <n v="1"/>
    <n v="83331.899999999994"/>
    <x v="1"/>
  </r>
  <r>
    <s v="C0298"/>
    <x v="7"/>
    <x v="20"/>
    <x v="7"/>
    <x v="0"/>
    <x v="3"/>
    <x v="0"/>
    <n v="80850.23"/>
    <x v="0"/>
    <n v="4"/>
    <n v="323400.92"/>
    <x v="0"/>
  </r>
  <r>
    <s v="C0299"/>
    <x v="1"/>
    <x v="8"/>
    <x v="9"/>
    <x v="2"/>
    <x v="1"/>
    <x v="0"/>
    <n v="53359.33"/>
    <x v="0"/>
    <n v="19"/>
    <n v="1013827.27"/>
    <x v="2"/>
  </r>
  <r>
    <s v="C0300"/>
    <x v="4"/>
    <x v="6"/>
    <x v="8"/>
    <x v="4"/>
    <x v="1"/>
    <x v="1"/>
    <n v="84003.26"/>
    <x v="0"/>
    <n v="10"/>
    <n v="840032.6"/>
    <x v="2"/>
  </r>
  <r>
    <s v="C0301"/>
    <x v="5"/>
    <x v="16"/>
    <x v="10"/>
    <x v="5"/>
    <x v="0"/>
    <x v="0"/>
    <n v="86538.68"/>
    <x v="0"/>
    <n v="17"/>
    <n v="1471157.5599999998"/>
    <x v="0"/>
  </r>
  <r>
    <s v="C0302"/>
    <x v="4"/>
    <x v="6"/>
    <x v="10"/>
    <x v="5"/>
    <x v="1"/>
    <x v="0"/>
    <n v="78237.97"/>
    <x v="0"/>
    <n v="14"/>
    <n v="1095331.58"/>
    <x v="2"/>
  </r>
  <r>
    <s v="C0303"/>
    <x v="1"/>
    <x v="10"/>
    <x v="5"/>
    <x v="2"/>
    <x v="2"/>
    <x v="1"/>
    <n v="41004.620000000003"/>
    <x v="0"/>
    <n v="8"/>
    <n v="328036.96000000002"/>
    <x v="1"/>
  </r>
  <r>
    <s v="C0304"/>
    <x v="5"/>
    <x v="15"/>
    <x v="7"/>
    <x v="4"/>
    <x v="0"/>
    <x v="1"/>
    <n v="44558.29"/>
    <x v="0"/>
    <n v="16"/>
    <n v="712932.64"/>
    <x v="0"/>
  </r>
  <r>
    <s v="C0305"/>
    <x v="2"/>
    <x v="9"/>
    <x v="2"/>
    <x v="5"/>
    <x v="0"/>
    <x v="1"/>
    <n v="68740.73"/>
    <x v="0"/>
    <n v="15"/>
    <n v="1031110.95"/>
    <x v="2"/>
  </r>
  <r>
    <s v="C0306"/>
    <x v="2"/>
    <x v="2"/>
    <x v="6"/>
    <x v="1"/>
    <x v="3"/>
    <x v="1"/>
    <n v="80287.539999999994"/>
    <x v="0"/>
    <n v="0"/>
    <n v="0"/>
    <x v="2"/>
  </r>
  <r>
    <s v="C0307"/>
    <x v="7"/>
    <x v="14"/>
    <x v="0"/>
    <x v="0"/>
    <x v="3"/>
    <x v="1"/>
    <n v="18650.45"/>
    <x v="0"/>
    <n v="19"/>
    <n v="354358.55"/>
    <x v="2"/>
  </r>
  <r>
    <s v="C0308"/>
    <x v="5"/>
    <x v="15"/>
    <x v="0"/>
    <x v="5"/>
    <x v="2"/>
    <x v="1"/>
    <n v="54084.04"/>
    <x v="0"/>
    <n v="11"/>
    <n v="594924.44000000006"/>
    <x v="2"/>
  </r>
  <r>
    <s v="C0309"/>
    <x v="0"/>
    <x v="0"/>
    <x v="2"/>
    <x v="3"/>
    <x v="2"/>
    <x v="1"/>
    <n v="19202.36"/>
    <x v="0"/>
    <n v="15"/>
    <n v="288035.40000000002"/>
    <x v="0"/>
  </r>
  <r>
    <s v="C0310"/>
    <x v="3"/>
    <x v="5"/>
    <x v="2"/>
    <x v="2"/>
    <x v="0"/>
    <x v="0"/>
    <n v="97891.68"/>
    <x v="1"/>
    <n v="5"/>
    <n v="489458.39999999997"/>
    <x v="0"/>
  </r>
  <r>
    <s v="C0311"/>
    <x v="0"/>
    <x v="19"/>
    <x v="8"/>
    <x v="2"/>
    <x v="2"/>
    <x v="0"/>
    <n v="45662.22"/>
    <x v="0"/>
    <n v="15"/>
    <n v="684933.3"/>
    <x v="2"/>
  </r>
  <r>
    <s v="C0312"/>
    <x v="3"/>
    <x v="5"/>
    <x v="10"/>
    <x v="5"/>
    <x v="0"/>
    <x v="1"/>
    <n v="93641.13"/>
    <x v="1"/>
    <n v="6"/>
    <n v="561846.78"/>
    <x v="0"/>
  </r>
  <r>
    <s v="C0313"/>
    <x v="0"/>
    <x v="0"/>
    <x v="0"/>
    <x v="0"/>
    <x v="0"/>
    <x v="1"/>
    <n v="66822.3"/>
    <x v="0"/>
    <n v="16"/>
    <n v="1069156.8"/>
    <x v="2"/>
  </r>
  <r>
    <s v="C0314"/>
    <x v="1"/>
    <x v="10"/>
    <x v="8"/>
    <x v="0"/>
    <x v="1"/>
    <x v="1"/>
    <n v="34144.39"/>
    <x v="0"/>
    <n v="20"/>
    <n v="682887.8"/>
    <x v="1"/>
  </r>
  <r>
    <s v="C0315"/>
    <x v="4"/>
    <x v="11"/>
    <x v="4"/>
    <x v="2"/>
    <x v="3"/>
    <x v="1"/>
    <n v="49991.15"/>
    <x v="0"/>
    <n v="3"/>
    <n v="149973.45000000001"/>
    <x v="1"/>
  </r>
  <r>
    <s v="C0316"/>
    <x v="0"/>
    <x v="4"/>
    <x v="9"/>
    <x v="4"/>
    <x v="0"/>
    <x v="1"/>
    <n v="65718.570000000007"/>
    <x v="0"/>
    <n v="5"/>
    <n v="328592.85000000003"/>
    <x v="0"/>
  </r>
  <r>
    <s v="C0317"/>
    <x v="0"/>
    <x v="0"/>
    <x v="3"/>
    <x v="3"/>
    <x v="0"/>
    <x v="0"/>
    <n v="94065.17"/>
    <x v="1"/>
    <n v="6"/>
    <n v="564391.02"/>
    <x v="0"/>
  </r>
  <r>
    <s v="C0318"/>
    <x v="4"/>
    <x v="6"/>
    <x v="6"/>
    <x v="5"/>
    <x v="2"/>
    <x v="1"/>
    <n v="44874.76"/>
    <x v="0"/>
    <n v="2"/>
    <n v="89749.52"/>
    <x v="2"/>
  </r>
  <r>
    <s v="C0319"/>
    <x v="4"/>
    <x v="6"/>
    <x v="0"/>
    <x v="4"/>
    <x v="3"/>
    <x v="0"/>
    <n v="52256.29"/>
    <x v="0"/>
    <n v="15"/>
    <n v="783844.35"/>
    <x v="0"/>
  </r>
  <r>
    <s v="C0320"/>
    <x v="7"/>
    <x v="14"/>
    <x v="2"/>
    <x v="1"/>
    <x v="3"/>
    <x v="1"/>
    <n v="24694.17"/>
    <x v="0"/>
    <n v="12"/>
    <n v="296330.03999999998"/>
    <x v="2"/>
  </r>
  <r>
    <s v="C0321"/>
    <x v="4"/>
    <x v="6"/>
    <x v="3"/>
    <x v="0"/>
    <x v="2"/>
    <x v="1"/>
    <n v="72243.59"/>
    <x v="0"/>
    <n v="15"/>
    <n v="1083653.8499999999"/>
    <x v="0"/>
  </r>
  <r>
    <s v="C0322"/>
    <x v="4"/>
    <x v="17"/>
    <x v="9"/>
    <x v="2"/>
    <x v="1"/>
    <x v="1"/>
    <n v="76945.41"/>
    <x v="0"/>
    <n v="9"/>
    <n v="692508.69000000006"/>
    <x v="0"/>
  </r>
  <r>
    <s v="C0323"/>
    <x v="7"/>
    <x v="12"/>
    <x v="6"/>
    <x v="3"/>
    <x v="1"/>
    <x v="1"/>
    <n v="58060.85"/>
    <x v="0"/>
    <n v="12"/>
    <n v="696730.2"/>
    <x v="2"/>
  </r>
  <r>
    <s v="C0324"/>
    <x v="2"/>
    <x v="18"/>
    <x v="7"/>
    <x v="2"/>
    <x v="0"/>
    <x v="0"/>
    <n v="49935.47"/>
    <x v="0"/>
    <n v="11"/>
    <n v="549290.17000000004"/>
    <x v="2"/>
  </r>
  <r>
    <s v="C0325"/>
    <x v="3"/>
    <x v="3"/>
    <x v="0"/>
    <x v="0"/>
    <x v="3"/>
    <x v="0"/>
    <n v="64065.66"/>
    <x v="0"/>
    <n v="12"/>
    <n v="768787.92"/>
    <x v="1"/>
  </r>
  <r>
    <s v="C0326"/>
    <x v="1"/>
    <x v="8"/>
    <x v="4"/>
    <x v="0"/>
    <x v="0"/>
    <x v="0"/>
    <n v="73630.87"/>
    <x v="0"/>
    <n v="16"/>
    <n v="1178093.92"/>
    <x v="0"/>
  </r>
  <r>
    <s v="C0327"/>
    <x v="4"/>
    <x v="11"/>
    <x v="1"/>
    <x v="5"/>
    <x v="1"/>
    <x v="0"/>
    <n v="91909.78"/>
    <x v="1"/>
    <n v="12"/>
    <n v="1102917.3599999999"/>
    <x v="1"/>
  </r>
  <r>
    <s v="C0328"/>
    <x v="3"/>
    <x v="3"/>
    <x v="4"/>
    <x v="1"/>
    <x v="3"/>
    <x v="0"/>
    <n v="24042.37"/>
    <x v="0"/>
    <n v="12"/>
    <n v="288508.44"/>
    <x v="1"/>
  </r>
  <r>
    <s v="C0329"/>
    <x v="1"/>
    <x v="8"/>
    <x v="8"/>
    <x v="5"/>
    <x v="2"/>
    <x v="0"/>
    <n v="86885.09"/>
    <x v="0"/>
    <n v="5"/>
    <n v="434425.44999999995"/>
    <x v="0"/>
  </r>
  <r>
    <s v="C0330"/>
    <x v="6"/>
    <x v="13"/>
    <x v="3"/>
    <x v="2"/>
    <x v="3"/>
    <x v="0"/>
    <n v="39257.79"/>
    <x v="0"/>
    <n v="15"/>
    <n v="588866.85"/>
    <x v="0"/>
  </r>
  <r>
    <s v="C0331"/>
    <x v="5"/>
    <x v="16"/>
    <x v="0"/>
    <x v="4"/>
    <x v="3"/>
    <x v="0"/>
    <n v="21666.03"/>
    <x v="0"/>
    <n v="8"/>
    <n v="173328.24"/>
    <x v="2"/>
  </r>
  <r>
    <s v="C0332"/>
    <x v="2"/>
    <x v="9"/>
    <x v="0"/>
    <x v="5"/>
    <x v="3"/>
    <x v="0"/>
    <n v="43315.59"/>
    <x v="0"/>
    <n v="9"/>
    <n v="389840.30999999994"/>
    <x v="0"/>
  </r>
  <r>
    <s v="C0333"/>
    <x v="5"/>
    <x v="7"/>
    <x v="1"/>
    <x v="1"/>
    <x v="3"/>
    <x v="1"/>
    <n v="86322.240000000005"/>
    <x v="0"/>
    <n v="13"/>
    <n v="1122189.1200000001"/>
    <x v="2"/>
  </r>
  <r>
    <s v="C0334"/>
    <x v="5"/>
    <x v="7"/>
    <x v="7"/>
    <x v="2"/>
    <x v="3"/>
    <x v="1"/>
    <n v="47842.6"/>
    <x v="0"/>
    <n v="10"/>
    <n v="478426"/>
    <x v="1"/>
  </r>
  <r>
    <s v="C0335"/>
    <x v="1"/>
    <x v="10"/>
    <x v="2"/>
    <x v="2"/>
    <x v="3"/>
    <x v="1"/>
    <n v="65420.55"/>
    <x v="0"/>
    <n v="19"/>
    <n v="1242990.45"/>
    <x v="0"/>
  </r>
  <r>
    <s v="C0336"/>
    <x v="4"/>
    <x v="6"/>
    <x v="3"/>
    <x v="1"/>
    <x v="1"/>
    <x v="1"/>
    <n v="93744.9"/>
    <x v="1"/>
    <n v="8"/>
    <n v="749959.2"/>
    <x v="1"/>
  </r>
  <r>
    <s v="C0337"/>
    <x v="2"/>
    <x v="2"/>
    <x v="2"/>
    <x v="5"/>
    <x v="1"/>
    <x v="0"/>
    <n v="26411.09"/>
    <x v="0"/>
    <n v="20"/>
    <n v="528221.80000000005"/>
    <x v="0"/>
  </r>
  <r>
    <s v="C0338"/>
    <x v="2"/>
    <x v="18"/>
    <x v="0"/>
    <x v="0"/>
    <x v="2"/>
    <x v="0"/>
    <n v="90237.8"/>
    <x v="1"/>
    <n v="1"/>
    <n v="90237.8"/>
    <x v="2"/>
  </r>
  <r>
    <s v="C0339"/>
    <x v="1"/>
    <x v="8"/>
    <x v="1"/>
    <x v="3"/>
    <x v="2"/>
    <x v="1"/>
    <n v="92883.27"/>
    <x v="1"/>
    <n v="10"/>
    <n v="928832.70000000007"/>
    <x v="2"/>
  </r>
  <r>
    <s v="C0340"/>
    <x v="7"/>
    <x v="20"/>
    <x v="1"/>
    <x v="5"/>
    <x v="1"/>
    <x v="0"/>
    <n v="53012.12"/>
    <x v="0"/>
    <n v="20"/>
    <n v="1060242.4000000001"/>
    <x v="1"/>
  </r>
  <r>
    <s v="C0341"/>
    <x v="7"/>
    <x v="20"/>
    <x v="10"/>
    <x v="1"/>
    <x v="0"/>
    <x v="1"/>
    <n v="35862.17"/>
    <x v="0"/>
    <n v="7"/>
    <n v="251035.19"/>
    <x v="2"/>
  </r>
  <r>
    <s v="C0342"/>
    <x v="2"/>
    <x v="2"/>
    <x v="4"/>
    <x v="0"/>
    <x v="0"/>
    <x v="0"/>
    <n v="30351.37"/>
    <x v="0"/>
    <n v="18"/>
    <n v="546324.66"/>
    <x v="0"/>
  </r>
  <r>
    <s v="C0343"/>
    <x v="2"/>
    <x v="18"/>
    <x v="1"/>
    <x v="0"/>
    <x v="2"/>
    <x v="1"/>
    <n v="83159.710000000006"/>
    <x v="0"/>
    <n v="19"/>
    <n v="1580034.4900000002"/>
    <x v="2"/>
  </r>
  <r>
    <s v="C0344"/>
    <x v="2"/>
    <x v="9"/>
    <x v="7"/>
    <x v="0"/>
    <x v="1"/>
    <x v="0"/>
    <n v="82070.94"/>
    <x v="0"/>
    <n v="11"/>
    <n v="902780.34000000008"/>
    <x v="0"/>
  </r>
  <r>
    <s v="C0345"/>
    <x v="3"/>
    <x v="13"/>
    <x v="7"/>
    <x v="2"/>
    <x v="3"/>
    <x v="0"/>
    <n v="86871.06"/>
    <x v="0"/>
    <n v="5"/>
    <n v="434355.3"/>
    <x v="1"/>
  </r>
  <r>
    <s v="C0346"/>
    <x v="2"/>
    <x v="9"/>
    <x v="6"/>
    <x v="2"/>
    <x v="3"/>
    <x v="1"/>
    <n v="52055.61"/>
    <x v="0"/>
    <n v="7"/>
    <n v="364389.27"/>
    <x v="1"/>
  </r>
  <r>
    <s v="C0347"/>
    <x v="2"/>
    <x v="18"/>
    <x v="0"/>
    <x v="5"/>
    <x v="0"/>
    <x v="1"/>
    <n v="51599.71"/>
    <x v="0"/>
    <n v="18"/>
    <n v="928794.78"/>
    <x v="1"/>
  </r>
  <r>
    <s v="C0348"/>
    <x v="3"/>
    <x v="13"/>
    <x v="1"/>
    <x v="0"/>
    <x v="1"/>
    <x v="1"/>
    <n v="16688.91"/>
    <x v="0"/>
    <n v="1"/>
    <n v="16688.91"/>
    <x v="1"/>
  </r>
  <r>
    <s v="C0349"/>
    <x v="2"/>
    <x v="2"/>
    <x v="7"/>
    <x v="3"/>
    <x v="2"/>
    <x v="0"/>
    <n v="53216.75"/>
    <x v="0"/>
    <n v="6"/>
    <n v="319300.5"/>
    <x v="0"/>
  </r>
  <r>
    <s v="C0350"/>
    <x v="7"/>
    <x v="20"/>
    <x v="10"/>
    <x v="5"/>
    <x v="3"/>
    <x v="1"/>
    <n v="52463.23"/>
    <x v="0"/>
    <n v="15"/>
    <n v="786948.45000000007"/>
    <x v="2"/>
  </r>
  <r>
    <s v="C0351"/>
    <x v="7"/>
    <x v="20"/>
    <x v="5"/>
    <x v="3"/>
    <x v="0"/>
    <x v="0"/>
    <n v="30658.1"/>
    <x v="0"/>
    <n v="1"/>
    <n v="30658.1"/>
    <x v="2"/>
  </r>
  <r>
    <s v="C0352"/>
    <x v="1"/>
    <x v="8"/>
    <x v="7"/>
    <x v="5"/>
    <x v="0"/>
    <x v="0"/>
    <n v="79853.55"/>
    <x v="0"/>
    <n v="9"/>
    <n v="718681.95000000007"/>
    <x v="1"/>
  </r>
  <r>
    <s v="C0353"/>
    <x v="1"/>
    <x v="10"/>
    <x v="1"/>
    <x v="0"/>
    <x v="1"/>
    <x v="0"/>
    <n v="21727.73"/>
    <x v="0"/>
    <n v="7"/>
    <n v="152094.10999999999"/>
    <x v="2"/>
  </r>
  <r>
    <s v="C0354"/>
    <x v="0"/>
    <x v="0"/>
    <x v="2"/>
    <x v="5"/>
    <x v="3"/>
    <x v="1"/>
    <n v="89064.3"/>
    <x v="0"/>
    <n v="4"/>
    <n v="356257.2"/>
    <x v="1"/>
  </r>
  <r>
    <s v="C0355"/>
    <x v="2"/>
    <x v="18"/>
    <x v="7"/>
    <x v="4"/>
    <x v="3"/>
    <x v="0"/>
    <n v="66192.899999999994"/>
    <x v="0"/>
    <n v="6"/>
    <n v="397157.39999999997"/>
    <x v="2"/>
  </r>
  <r>
    <s v="C0356"/>
    <x v="0"/>
    <x v="4"/>
    <x v="7"/>
    <x v="5"/>
    <x v="3"/>
    <x v="0"/>
    <n v="93494.38"/>
    <x v="1"/>
    <n v="6"/>
    <n v="560966.28"/>
    <x v="0"/>
  </r>
  <r>
    <s v="C0357"/>
    <x v="1"/>
    <x v="10"/>
    <x v="1"/>
    <x v="3"/>
    <x v="2"/>
    <x v="0"/>
    <n v="55936.19"/>
    <x v="0"/>
    <n v="0"/>
    <n v="0"/>
    <x v="2"/>
  </r>
  <r>
    <s v="C0358"/>
    <x v="7"/>
    <x v="20"/>
    <x v="3"/>
    <x v="1"/>
    <x v="1"/>
    <x v="1"/>
    <n v="96428.19"/>
    <x v="1"/>
    <n v="8"/>
    <n v="771425.52"/>
    <x v="2"/>
  </r>
  <r>
    <s v="C0359"/>
    <x v="5"/>
    <x v="16"/>
    <x v="10"/>
    <x v="0"/>
    <x v="0"/>
    <x v="1"/>
    <n v="95666.26"/>
    <x v="1"/>
    <n v="2"/>
    <n v="191332.52"/>
    <x v="0"/>
  </r>
  <r>
    <s v="C0360"/>
    <x v="0"/>
    <x v="4"/>
    <x v="0"/>
    <x v="5"/>
    <x v="1"/>
    <x v="0"/>
    <n v="55890.27"/>
    <x v="0"/>
    <n v="14"/>
    <n v="782463.77999999991"/>
    <x v="2"/>
  </r>
  <r>
    <s v="C0361"/>
    <x v="5"/>
    <x v="16"/>
    <x v="4"/>
    <x v="2"/>
    <x v="0"/>
    <x v="0"/>
    <n v="96776.11"/>
    <x v="1"/>
    <n v="2"/>
    <n v="193552.22"/>
    <x v="2"/>
  </r>
  <r>
    <s v="C0362"/>
    <x v="2"/>
    <x v="2"/>
    <x v="10"/>
    <x v="4"/>
    <x v="0"/>
    <x v="1"/>
    <n v="75124.7"/>
    <x v="0"/>
    <n v="13"/>
    <n v="976621.1"/>
    <x v="2"/>
  </r>
  <r>
    <s v="C0363"/>
    <x v="7"/>
    <x v="14"/>
    <x v="8"/>
    <x v="1"/>
    <x v="3"/>
    <x v="1"/>
    <n v="99989.119999999995"/>
    <x v="1"/>
    <n v="3"/>
    <n v="299967.35999999999"/>
    <x v="0"/>
  </r>
  <r>
    <s v="C0364"/>
    <x v="3"/>
    <x v="5"/>
    <x v="9"/>
    <x v="5"/>
    <x v="3"/>
    <x v="0"/>
    <n v="24071.71"/>
    <x v="0"/>
    <n v="5"/>
    <n v="120358.54999999999"/>
    <x v="0"/>
  </r>
  <r>
    <s v="C0365"/>
    <x v="7"/>
    <x v="14"/>
    <x v="0"/>
    <x v="0"/>
    <x v="0"/>
    <x v="1"/>
    <n v="57296.32"/>
    <x v="0"/>
    <n v="12"/>
    <n v="687555.84"/>
    <x v="1"/>
  </r>
  <r>
    <s v="C0366"/>
    <x v="3"/>
    <x v="5"/>
    <x v="10"/>
    <x v="5"/>
    <x v="0"/>
    <x v="0"/>
    <n v="56171.44"/>
    <x v="0"/>
    <n v="4"/>
    <n v="224685.76"/>
    <x v="2"/>
  </r>
  <r>
    <s v="C0367"/>
    <x v="1"/>
    <x v="1"/>
    <x v="7"/>
    <x v="3"/>
    <x v="3"/>
    <x v="1"/>
    <n v="35856.76"/>
    <x v="0"/>
    <n v="10"/>
    <n v="358567.60000000003"/>
    <x v="0"/>
  </r>
  <r>
    <s v="C0368"/>
    <x v="5"/>
    <x v="16"/>
    <x v="7"/>
    <x v="4"/>
    <x v="0"/>
    <x v="1"/>
    <n v="72043.42"/>
    <x v="0"/>
    <n v="11"/>
    <n v="792477.62"/>
    <x v="0"/>
  </r>
  <r>
    <s v="C0369"/>
    <x v="2"/>
    <x v="18"/>
    <x v="6"/>
    <x v="2"/>
    <x v="3"/>
    <x v="1"/>
    <n v="42812.59"/>
    <x v="0"/>
    <n v="2"/>
    <n v="85625.18"/>
    <x v="1"/>
  </r>
  <r>
    <s v="C0370"/>
    <x v="1"/>
    <x v="10"/>
    <x v="3"/>
    <x v="1"/>
    <x v="3"/>
    <x v="1"/>
    <n v="68216.44"/>
    <x v="0"/>
    <n v="1"/>
    <n v="68216.44"/>
    <x v="1"/>
  </r>
  <r>
    <s v="C0371"/>
    <x v="3"/>
    <x v="13"/>
    <x v="0"/>
    <x v="0"/>
    <x v="2"/>
    <x v="0"/>
    <n v="34068.800000000003"/>
    <x v="0"/>
    <n v="14"/>
    <n v="476963.20000000007"/>
    <x v="1"/>
  </r>
  <r>
    <s v="C0372"/>
    <x v="3"/>
    <x v="13"/>
    <x v="9"/>
    <x v="5"/>
    <x v="0"/>
    <x v="1"/>
    <n v="51461.64"/>
    <x v="0"/>
    <n v="1"/>
    <n v="51461.64"/>
    <x v="1"/>
  </r>
  <r>
    <s v="C0373"/>
    <x v="2"/>
    <x v="9"/>
    <x v="10"/>
    <x v="5"/>
    <x v="1"/>
    <x v="1"/>
    <n v="65384.54"/>
    <x v="0"/>
    <n v="17"/>
    <n v="1111537.18"/>
    <x v="2"/>
  </r>
  <r>
    <s v="C0374"/>
    <x v="0"/>
    <x v="0"/>
    <x v="7"/>
    <x v="4"/>
    <x v="3"/>
    <x v="0"/>
    <n v="21452.52"/>
    <x v="0"/>
    <n v="20"/>
    <n v="429050.4"/>
    <x v="1"/>
  </r>
  <r>
    <s v="C0375"/>
    <x v="4"/>
    <x v="11"/>
    <x v="6"/>
    <x v="0"/>
    <x v="0"/>
    <x v="0"/>
    <n v="92158.1"/>
    <x v="1"/>
    <n v="6"/>
    <n v="552948.60000000009"/>
    <x v="1"/>
  </r>
  <r>
    <s v="C0376"/>
    <x v="2"/>
    <x v="18"/>
    <x v="4"/>
    <x v="4"/>
    <x v="1"/>
    <x v="1"/>
    <n v="75290.48"/>
    <x v="0"/>
    <n v="18"/>
    <n v="1355228.64"/>
    <x v="2"/>
  </r>
  <r>
    <s v="C0377"/>
    <x v="7"/>
    <x v="12"/>
    <x v="6"/>
    <x v="3"/>
    <x v="1"/>
    <x v="1"/>
    <n v="19766.68"/>
    <x v="0"/>
    <n v="7"/>
    <n v="138366.76"/>
    <x v="1"/>
  </r>
  <r>
    <s v="C0378"/>
    <x v="7"/>
    <x v="14"/>
    <x v="4"/>
    <x v="3"/>
    <x v="0"/>
    <x v="0"/>
    <n v="94187.85"/>
    <x v="1"/>
    <n v="13"/>
    <n v="1224442.05"/>
    <x v="0"/>
  </r>
  <r>
    <s v="C0379"/>
    <x v="5"/>
    <x v="15"/>
    <x v="2"/>
    <x v="1"/>
    <x v="1"/>
    <x v="1"/>
    <n v="15287.73"/>
    <x v="0"/>
    <n v="9"/>
    <n v="137589.57"/>
    <x v="2"/>
  </r>
  <r>
    <s v="C0380"/>
    <x v="0"/>
    <x v="4"/>
    <x v="0"/>
    <x v="5"/>
    <x v="0"/>
    <x v="0"/>
    <n v="73265.22"/>
    <x v="0"/>
    <n v="8"/>
    <n v="586121.76"/>
    <x v="1"/>
  </r>
  <r>
    <s v="C0381"/>
    <x v="2"/>
    <x v="9"/>
    <x v="4"/>
    <x v="5"/>
    <x v="0"/>
    <x v="0"/>
    <n v="17936.62"/>
    <x v="0"/>
    <n v="1"/>
    <n v="17936.62"/>
    <x v="2"/>
  </r>
  <r>
    <s v="C0382"/>
    <x v="7"/>
    <x v="12"/>
    <x v="9"/>
    <x v="0"/>
    <x v="2"/>
    <x v="1"/>
    <n v="97407.23"/>
    <x v="1"/>
    <n v="10"/>
    <n v="974072.29999999993"/>
    <x v="1"/>
  </r>
  <r>
    <s v="C0383"/>
    <x v="7"/>
    <x v="14"/>
    <x v="2"/>
    <x v="5"/>
    <x v="2"/>
    <x v="0"/>
    <n v="54266.05"/>
    <x v="0"/>
    <n v="12"/>
    <n v="651192.60000000009"/>
    <x v="2"/>
  </r>
  <r>
    <s v="C0384"/>
    <x v="1"/>
    <x v="1"/>
    <x v="8"/>
    <x v="5"/>
    <x v="0"/>
    <x v="0"/>
    <n v="63705.91"/>
    <x v="0"/>
    <n v="1"/>
    <n v="63705.91"/>
    <x v="0"/>
  </r>
  <r>
    <s v="C0385"/>
    <x v="4"/>
    <x v="11"/>
    <x v="1"/>
    <x v="4"/>
    <x v="1"/>
    <x v="0"/>
    <n v="23456.77"/>
    <x v="0"/>
    <n v="20"/>
    <n v="469135.4"/>
    <x v="1"/>
  </r>
  <r>
    <s v="C0386"/>
    <x v="0"/>
    <x v="19"/>
    <x v="2"/>
    <x v="3"/>
    <x v="3"/>
    <x v="0"/>
    <n v="29727.24"/>
    <x v="0"/>
    <n v="1"/>
    <n v="29727.24"/>
    <x v="2"/>
  </r>
  <r>
    <s v="C0387"/>
    <x v="3"/>
    <x v="13"/>
    <x v="4"/>
    <x v="4"/>
    <x v="0"/>
    <x v="1"/>
    <n v="80106.33"/>
    <x v="0"/>
    <n v="13"/>
    <n v="1041382.29"/>
    <x v="0"/>
  </r>
  <r>
    <s v="C0388"/>
    <x v="4"/>
    <x v="11"/>
    <x v="5"/>
    <x v="5"/>
    <x v="1"/>
    <x v="0"/>
    <n v="36180.46"/>
    <x v="0"/>
    <n v="1"/>
    <n v="36180.46"/>
    <x v="2"/>
  </r>
  <r>
    <s v="C0389"/>
    <x v="0"/>
    <x v="4"/>
    <x v="0"/>
    <x v="4"/>
    <x v="2"/>
    <x v="0"/>
    <n v="74572.62"/>
    <x v="0"/>
    <n v="10"/>
    <n v="745726.2"/>
    <x v="1"/>
  </r>
  <r>
    <s v="C0390"/>
    <x v="2"/>
    <x v="18"/>
    <x v="0"/>
    <x v="1"/>
    <x v="0"/>
    <x v="0"/>
    <n v="39960.25"/>
    <x v="0"/>
    <n v="1"/>
    <n v="39960.25"/>
    <x v="1"/>
  </r>
  <r>
    <s v="C0391"/>
    <x v="2"/>
    <x v="2"/>
    <x v="5"/>
    <x v="2"/>
    <x v="1"/>
    <x v="0"/>
    <n v="88353.45"/>
    <x v="0"/>
    <n v="11"/>
    <n v="971887.95"/>
    <x v="2"/>
  </r>
  <r>
    <s v="C0392"/>
    <x v="3"/>
    <x v="13"/>
    <x v="2"/>
    <x v="0"/>
    <x v="2"/>
    <x v="0"/>
    <n v="71319.429999999993"/>
    <x v="0"/>
    <n v="15"/>
    <n v="1069791.45"/>
    <x v="1"/>
  </r>
  <r>
    <s v="C0393"/>
    <x v="0"/>
    <x v="4"/>
    <x v="10"/>
    <x v="1"/>
    <x v="3"/>
    <x v="0"/>
    <n v="75783.38"/>
    <x v="0"/>
    <n v="8"/>
    <n v="606267.04"/>
    <x v="0"/>
  </r>
  <r>
    <s v="C0394"/>
    <x v="5"/>
    <x v="16"/>
    <x v="4"/>
    <x v="5"/>
    <x v="3"/>
    <x v="0"/>
    <n v="38266.04"/>
    <x v="0"/>
    <n v="0"/>
    <n v="0"/>
    <x v="1"/>
  </r>
  <r>
    <s v="C0395"/>
    <x v="0"/>
    <x v="4"/>
    <x v="3"/>
    <x v="3"/>
    <x v="3"/>
    <x v="0"/>
    <n v="53727.95"/>
    <x v="0"/>
    <n v="10"/>
    <n v="537279.5"/>
    <x v="2"/>
  </r>
  <r>
    <s v="C0396"/>
    <x v="7"/>
    <x v="12"/>
    <x v="7"/>
    <x v="4"/>
    <x v="2"/>
    <x v="1"/>
    <n v="69972.710000000006"/>
    <x v="0"/>
    <n v="18"/>
    <n v="1259508.78"/>
    <x v="1"/>
  </r>
  <r>
    <s v="C0397"/>
    <x v="4"/>
    <x v="17"/>
    <x v="9"/>
    <x v="1"/>
    <x v="0"/>
    <x v="0"/>
    <n v="34260.620000000003"/>
    <x v="0"/>
    <n v="3"/>
    <n v="102781.86000000002"/>
    <x v="1"/>
  </r>
  <r>
    <s v="C0398"/>
    <x v="2"/>
    <x v="2"/>
    <x v="8"/>
    <x v="5"/>
    <x v="1"/>
    <x v="1"/>
    <n v="41514.29"/>
    <x v="0"/>
    <n v="18"/>
    <n v="747257.22"/>
    <x v="0"/>
  </r>
  <r>
    <s v="C0399"/>
    <x v="7"/>
    <x v="20"/>
    <x v="8"/>
    <x v="0"/>
    <x v="0"/>
    <x v="1"/>
    <n v="68707.48"/>
    <x v="0"/>
    <n v="20"/>
    <n v="1374149.5999999999"/>
    <x v="2"/>
  </r>
  <r>
    <s v="C0400"/>
    <x v="0"/>
    <x v="19"/>
    <x v="4"/>
    <x v="3"/>
    <x v="0"/>
    <x v="0"/>
    <n v="97026.32"/>
    <x v="1"/>
    <n v="14"/>
    <n v="1358368.48"/>
    <x v="1"/>
  </r>
  <r>
    <s v="C0401"/>
    <x v="3"/>
    <x v="3"/>
    <x v="3"/>
    <x v="4"/>
    <x v="2"/>
    <x v="1"/>
    <n v="89678.74"/>
    <x v="0"/>
    <n v="1"/>
    <n v="89678.74"/>
    <x v="2"/>
  </r>
  <r>
    <s v="C0402"/>
    <x v="5"/>
    <x v="15"/>
    <x v="8"/>
    <x v="0"/>
    <x v="3"/>
    <x v="1"/>
    <n v="94457.24"/>
    <x v="1"/>
    <n v="18"/>
    <n v="1700230.32"/>
    <x v="0"/>
  </r>
  <r>
    <s v="C0403"/>
    <x v="4"/>
    <x v="17"/>
    <x v="7"/>
    <x v="4"/>
    <x v="1"/>
    <x v="0"/>
    <n v="96698.43"/>
    <x v="1"/>
    <n v="7"/>
    <n v="676889.01"/>
    <x v="2"/>
  </r>
  <r>
    <s v="C0404"/>
    <x v="7"/>
    <x v="14"/>
    <x v="6"/>
    <x v="0"/>
    <x v="0"/>
    <x v="1"/>
    <n v="87910.41"/>
    <x v="0"/>
    <n v="8"/>
    <n v="703283.28"/>
    <x v="2"/>
  </r>
  <r>
    <s v="C0405"/>
    <x v="1"/>
    <x v="10"/>
    <x v="0"/>
    <x v="5"/>
    <x v="2"/>
    <x v="0"/>
    <n v="88806.92"/>
    <x v="0"/>
    <n v="11"/>
    <n v="976876.12"/>
    <x v="1"/>
  </r>
  <r>
    <s v="C0406"/>
    <x v="0"/>
    <x v="0"/>
    <x v="2"/>
    <x v="3"/>
    <x v="2"/>
    <x v="0"/>
    <n v="93761.81"/>
    <x v="1"/>
    <n v="10"/>
    <n v="937618.1"/>
    <x v="2"/>
  </r>
  <r>
    <s v="C0407"/>
    <x v="7"/>
    <x v="12"/>
    <x v="8"/>
    <x v="4"/>
    <x v="3"/>
    <x v="0"/>
    <n v="25314.9"/>
    <x v="0"/>
    <n v="16"/>
    <n v="405038.4"/>
    <x v="0"/>
  </r>
  <r>
    <s v="C0408"/>
    <x v="5"/>
    <x v="15"/>
    <x v="3"/>
    <x v="5"/>
    <x v="3"/>
    <x v="1"/>
    <n v="52323.95"/>
    <x v="0"/>
    <n v="4"/>
    <n v="209295.8"/>
    <x v="1"/>
  </r>
  <r>
    <s v="C0409"/>
    <x v="4"/>
    <x v="17"/>
    <x v="9"/>
    <x v="1"/>
    <x v="1"/>
    <x v="0"/>
    <n v="72708.59"/>
    <x v="0"/>
    <n v="6"/>
    <n v="436251.54"/>
    <x v="2"/>
  </r>
  <r>
    <s v="C0410"/>
    <x v="7"/>
    <x v="14"/>
    <x v="3"/>
    <x v="3"/>
    <x v="0"/>
    <x v="0"/>
    <n v="41377.019999999997"/>
    <x v="0"/>
    <n v="2"/>
    <n v="82754.039999999994"/>
    <x v="1"/>
  </r>
  <r>
    <s v="C0411"/>
    <x v="2"/>
    <x v="18"/>
    <x v="3"/>
    <x v="4"/>
    <x v="1"/>
    <x v="0"/>
    <n v="92927.72"/>
    <x v="1"/>
    <n v="9"/>
    <n v="836349.48"/>
    <x v="0"/>
  </r>
  <r>
    <s v="C0412"/>
    <x v="5"/>
    <x v="15"/>
    <x v="3"/>
    <x v="3"/>
    <x v="0"/>
    <x v="1"/>
    <n v="22416.75"/>
    <x v="0"/>
    <n v="16"/>
    <n v="358668"/>
    <x v="2"/>
  </r>
  <r>
    <s v="C0413"/>
    <x v="7"/>
    <x v="20"/>
    <x v="6"/>
    <x v="4"/>
    <x v="0"/>
    <x v="1"/>
    <n v="95358.71"/>
    <x v="1"/>
    <n v="4"/>
    <n v="381434.84"/>
    <x v="1"/>
  </r>
  <r>
    <s v="C0414"/>
    <x v="5"/>
    <x v="16"/>
    <x v="2"/>
    <x v="0"/>
    <x v="1"/>
    <x v="1"/>
    <n v="75830.05"/>
    <x v="0"/>
    <n v="0"/>
    <n v="0"/>
    <x v="0"/>
  </r>
  <r>
    <s v="C0415"/>
    <x v="4"/>
    <x v="6"/>
    <x v="10"/>
    <x v="0"/>
    <x v="0"/>
    <x v="1"/>
    <n v="40626.620000000003"/>
    <x v="0"/>
    <n v="17"/>
    <n v="690652.54"/>
    <x v="2"/>
  </r>
  <r>
    <s v="C0416"/>
    <x v="4"/>
    <x v="6"/>
    <x v="2"/>
    <x v="5"/>
    <x v="2"/>
    <x v="0"/>
    <n v="36408.74"/>
    <x v="0"/>
    <n v="5"/>
    <n v="182043.69999999998"/>
    <x v="1"/>
  </r>
  <r>
    <s v="C0417"/>
    <x v="7"/>
    <x v="20"/>
    <x v="5"/>
    <x v="5"/>
    <x v="2"/>
    <x v="0"/>
    <n v="97010.2"/>
    <x v="1"/>
    <n v="13"/>
    <n v="1261132.5999999999"/>
    <x v="0"/>
  </r>
  <r>
    <s v="C0418"/>
    <x v="4"/>
    <x v="11"/>
    <x v="9"/>
    <x v="4"/>
    <x v="2"/>
    <x v="0"/>
    <n v="33747.300000000003"/>
    <x v="0"/>
    <n v="17"/>
    <n v="573704.10000000009"/>
    <x v="1"/>
  </r>
  <r>
    <s v="C0419"/>
    <x v="3"/>
    <x v="5"/>
    <x v="9"/>
    <x v="1"/>
    <x v="1"/>
    <x v="0"/>
    <n v="26589.96"/>
    <x v="0"/>
    <n v="7"/>
    <n v="186129.72"/>
    <x v="2"/>
  </r>
  <r>
    <s v="C0420"/>
    <x v="1"/>
    <x v="10"/>
    <x v="6"/>
    <x v="5"/>
    <x v="3"/>
    <x v="0"/>
    <n v="99307.62"/>
    <x v="1"/>
    <n v="5"/>
    <n v="496538.1"/>
    <x v="1"/>
  </r>
  <r>
    <s v="C0421"/>
    <x v="2"/>
    <x v="18"/>
    <x v="9"/>
    <x v="2"/>
    <x v="1"/>
    <x v="0"/>
    <n v="67664.2"/>
    <x v="0"/>
    <n v="6"/>
    <n v="405985.19999999995"/>
    <x v="0"/>
  </r>
  <r>
    <s v="C0422"/>
    <x v="5"/>
    <x v="15"/>
    <x v="9"/>
    <x v="4"/>
    <x v="3"/>
    <x v="0"/>
    <n v="24443.71"/>
    <x v="0"/>
    <n v="10"/>
    <n v="244437.09999999998"/>
    <x v="2"/>
  </r>
  <r>
    <s v="C0423"/>
    <x v="7"/>
    <x v="14"/>
    <x v="1"/>
    <x v="3"/>
    <x v="1"/>
    <x v="0"/>
    <n v="70594.53"/>
    <x v="0"/>
    <n v="4"/>
    <n v="282378.12"/>
    <x v="2"/>
  </r>
  <r>
    <s v="C0424"/>
    <x v="2"/>
    <x v="2"/>
    <x v="5"/>
    <x v="1"/>
    <x v="0"/>
    <x v="1"/>
    <n v="70388.78"/>
    <x v="0"/>
    <n v="9"/>
    <n v="633499.02"/>
    <x v="0"/>
  </r>
  <r>
    <s v="C0425"/>
    <x v="0"/>
    <x v="4"/>
    <x v="1"/>
    <x v="2"/>
    <x v="3"/>
    <x v="1"/>
    <n v="20378.349999999999"/>
    <x v="0"/>
    <n v="12"/>
    <n v="244540.19999999998"/>
    <x v="0"/>
  </r>
  <r>
    <s v="C0426"/>
    <x v="3"/>
    <x v="13"/>
    <x v="7"/>
    <x v="5"/>
    <x v="3"/>
    <x v="1"/>
    <n v="72163.86"/>
    <x v="0"/>
    <n v="4"/>
    <n v="288655.44"/>
    <x v="1"/>
  </r>
  <r>
    <s v="C0427"/>
    <x v="7"/>
    <x v="14"/>
    <x v="10"/>
    <x v="5"/>
    <x v="2"/>
    <x v="1"/>
    <n v="81521.600000000006"/>
    <x v="0"/>
    <n v="1"/>
    <n v="81521.600000000006"/>
    <x v="2"/>
  </r>
  <r>
    <s v="C0428"/>
    <x v="4"/>
    <x v="11"/>
    <x v="4"/>
    <x v="5"/>
    <x v="2"/>
    <x v="1"/>
    <n v="46983.41"/>
    <x v="0"/>
    <n v="0"/>
    <n v="0"/>
    <x v="1"/>
  </r>
  <r>
    <s v="C0429"/>
    <x v="4"/>
    <x v="17"/>
    <x v="3"/>
    <x v="3"/>
    <x v="0"/>
    <x v="1"/>
    <n v="86656.17"/>
    <x v="0"/>
    <n v="12"/>
    <n v="1039874.04"/>
    <x v="1"/>
  </r>
  <r>
    <s v="C0430"/>
    <x v="2"/>
    <x v="18"/>
    <x v="7"/>
    <x v="0"/>
    <x v="3"/>
    <x v="0"/>
    <n v="21393.33"/>
    <x v="0"/>
    <n v="6"/>
    <n v="128359.98000000001"/>
    <x v="1"/>
  </r>
  <r>
    <s v="C0431"/>
    <x v="3"/>
    <x v="13"/>
    <x v="7"/>
    <x v="4"/>
    <x v="0"/>
    <x v="0"/>
    <n v="90207.03"/>
    <x v="1"/>
    <n v="2"/>
    <n v="180414.06"/>
    <x v="0"/>
  </r>
  <r>
    <s v="C0432"/>
    <x v="2"/>
    <x v="18"/>
    <x v="8"/>
    <x v="0"/>
    <x v="2"/>
    <x v="0"/>
    <n v="49078.51"/>
    <x v="0"/>
    <n v="14"/>
    <n v="687099.14"/>
    <x v="0"/>
  </r>
  <r>
    <s v="C0433"/>
    <x v="2"/>
    <x v="9"/>
    <x v="8"/>
    <x v="3"/>
    <x v="2"/>
    <x v="1"/>
    <n v="72226.720000000001"/>
    <x v="0"/>
    <n v="3"/>
    <n v="216680.16"/>
    <x v="2"/>
  </r>
  <r>
    <s v="C0434"/>
    <x v="4"/>
    <x v="11"/>
    <x v="1"/>
    <x v="0"/>
    <x v="0"/>
    <x v="1"/>
    <n v="45192.28"/>
    <x v="0"/>
    <n v="15"/>
    <n v="677884.2"/>
    <x v="2"/>
  </r>
  <r>
    <s v="C0435"/>
    <x v="1"/>
    <x v="10"/>
    <x v="4"/>
    <x v="3"/>
    <x v="1"/>
    <x v="0"/>
    <n v="25337.119999999999"/>
    <x v="0"/>
    <n v="3"/>
    <n v="76011.360000000001"/>
    <x v="1"/>
  </r>
  <r>
    <s v="C0436"/>
    <x v="4"/>
    <x v="17"/>
    <x v="2"/>
    <x v="2"/>
    <x v="3"/>
    <x v="1"/>
    <n v="67934.179999999993"/>
    <x v="0"/>
    <n v="12"/>
    <n v="815210.15999999992"/>
    <x v="0"/>
  </r>
  <r>
    <s v="C0437"/>
    <x v="2"/>
    <x v="18"/>
    <x v="3"/>
    <x v="3"/>
    <x v="1"/>
    <x v="0"/>
    <n v="99669.63"/>
    <x v="1"/>
    <n v="7"/>
    <n v="697687.41"/>
    <x v="0"/>
  </r>
  <r>
    <s v="C0438"/>
    <x v="0"/>
    <x v="0"/>
    <x v="5"/>
    <x v="1"/>
    <x v="1"/>
    <x v="1"/>
    <n v="62584.97"/>
    <x v="0"/>
    <n v="14"/>
    <n v="876189.58000000007"/>
    <x v="1"/>
  </r>
  <r>
    <s v="C0439"/>
    <x v="3"/>
    <x v="13"/>
    <x v="3"/>
    <x v="3"/>
    <x v="3"/>
    <x v="0"/>
    <n v="70576.600000000006"/>
    <x v="0"/>
    <n v="17"/>
    <n v="1199802.2000000002"/>
    <x v="2"/>
  </r>
  <r>
    <s v="C0440"/>
    <x v="1"/>
    <x v="1"/>
    <x v="4"/>
    <x v="0"/>
    <x v="1"/>
    <x v="1"/>
    <n v="77162.509999999995"/>
    <x v="0"/>
    <n v="19"/>
    <n v="1466087.69"/>
    <x v="0"/>
  </r>
  <r>
    <s v="C0441"/>
    <x v="5"/>
    <x v="7"/>
    <x v="1"/>
    <x v="4"/>
    <x v="0"/>
    <x v="1"/>
    <n v="99718.55"/>
    <x v="1"/>
    <n v="6"/>
    <n v="598311.30000000005"/>
    <x v="1"/>
  </r>
  <r>
    <s v="C0442"/>
    <x v="2"/>
    <x v="18"/>
    <x v="9"/>
    <x v="5"/>
    <x v="3"/>
    <x v="1"/>
    <n v="90545.9"/>
    <x v="1"/>
    <n v="3"/>
    <n v="271637.69999999995"/>
    <x v="1"/>
  </r>
  <r>
    <s v="C0443"/>
    <x v="4"/>
    <x v="17"/>
    <x v="1"/>
    <x v="2"/>
    <x v="0"/>
    <x v="0"/>
    <n v="15040.82"/>
    <x v="0"/>
    <n v="6"/>
    <n v="90244.92"/>
    <x v="0"/>
  </r>
  <r>
    <s v="C0444"/>
    <x v="3"/>
    <x v="5"/>
    <x v="8"/>
    <x v="4"/>
    <x v="1"/>
    <x v="0"/>
    <n v="52122.52"/>
    <x v="0"/>
    <n v="19"/>
    <n v="990327.87999999989"/>
    <x v="0"/>
  </r>
  <r>
    <s v="C0445"/>
    <x v="4"/>
    <x v="6"/>
    <x v="10"/>
    <x v="2"/>
    <x v="1"/>
    <x v="0"/>
    <n v="67001.440000000002"/>
    <x v="0"/>
    <n v="7"/>
    <n v="469010.08"/>
    <x v="2"/>
  </r>
  <r>
    <s v="C0446"/>
    <x v="4"/>
    <x v="6"/>
    <x v="1"/>
    <x v="0"/>
    <x v="1"/>
    <x v="0"/>
    <n v="96503.38"/>
    <x v="1"/>
    <n v="11"/>
    <n v="1061537.1800000002"/>
    <x v="1"/>
  </r>
  <r>
    <s v="C0447"/>
    <x v="3"/>
    <x v="13"/>
    <x v="7"/>
    <x v="2"/>
    <x v="2"/>
    <x v="0"/>
    <n v="96124.81"/>
    <x v="1"/>
    <n v="13"/>
    <n v="1249622.53"/>
    <x v="1"/>
  </r>
  <r>
    <s v="C0448"/>
    <x v="0"/>
    <x v="4"/>
    <x v="6"/>
    <x v="2"/>
    <x v="0"/>
    <x v="0"/>
    <n v="81740.740000000005"/>
    <x v="0"/>
    <n v="6"/>
    <n v="490444.44000000006"/>
    <x v="2"/>
  </r>
  <r>
    <s v="C0449"/>
    <x v="7"/>
    <x v="14"/>
    <x v="1"/>
    <x v="1"/>
    <x v="2"/>
    <x v="0"/>
    <n v="42928.74"/>
    <x v="0"/>
    <n v="10"/>
    <n v="429287.39999999997"/>
    <x v="0"/>
  </r>
  <r>
    <s v="C0450"/>
    <x v="3"/>
    <x v="13"/>
    <x v="0"/>
    <x v="5"/>
    <x v="0"/>
    <x v="0"/>
    <n v="95414.91"/>
    <x v="1"/>
    <n v="2"/>
    <n v="190829.82"/>
    <x v="0"/>
  </r>
  <r>
    <s v="C0451"/>
    <x v="0"/>
    <x v="19"/>
    <x v="5"/>
    <x v="5"/>
    <x v="1"/>
    <x v="1"/>
    <n v="71681.320000000007"/>
    <x v="0"/>
    <n v="5"/>
    <n v="358406.60000000003"/>
    <x v="1"/>
  </r>
  <r>
    <s v="C0452"/>
    <x v="5"/>
    <x v="16"/>
    <x v="6"/>
    <x v="4"/>
    <x v="1"/>
    <x v="1"/>
    <n v="96580.7"/>
    <x v="1"/>
    <n v="11"/>
    <n v="1062387.7"/>
    <x v="0"/>
  </r>
  <r>
    <s v="C0453"/>
    <x v="1"/>
    <x v="10"/>
    <x v="9"/>
    <x v="5"/>
    <x v="3"/>
    <x v="0"/>
    <n v="39915.71"/>
    <x v="0"/>
    <n v="15"/>
    <n v="598735.65"/>
    <x v="1"/>
  </r>
  <r>
    <s v="C0454"/>
    <x v="1"/>
    <x v="1"/>
    <x v="4"/>
    <x v="5"/>
    <x v="0"/>
    <x v="1"/>
    <n v="56316.6"/>
    <x v="0"/>
    <n v="3"/>
    <n v="168949.8"/>
    <x v="1"/>
  </r>
  <r>
    <s v="C0455"/>
    <x v="2"/>
    <x v="2"/>
    <x v="0"/>
    <x v="3"/>
    <x v="2"/>
    <x v="1"/>
    <n v="94666.38"/>
    <x v="1"/>
    <n v="0"/>
    <n v="0"/>
    <x v="2"/>
  </r>
  <r>
    <s v="C0456"/>
    <x v="7"/>
    <x v="12"/>
    <x v="4"/>
    <x v="2"/>
    <x v="0"/>
    <x v="1"/>
    <n v="18896.169999999998"/>
    <x v="0"/>
    <n v="5"/>
    <n v="94480.849999999991"/>
    <x v="0"/>
  </r>
  <r>
    <s v="C0457"/>
    <x v="4"/>
    <x v="11"/>
    <x v="2"/>
    <x v="5"/>
    <x v="3"/>
    <x v="1"/>
    <n v="89425.83"/>
    <x v="0"/>
    <n v="8"/>
    <n v="715406.64"/>
    <x v="0"/>
  </r>
  <r>
    <s v="C0458"/>
    <x v="2"/>
    <x v="18"/>
    <x v="10"/>
    <x v="3"/>
    <x v="2"/>
    <x v="1"/>
    <n v="21314.27"/>
    <x v="0"/>
    <n v="4"/>
    <n v="85257.08"/>
    <x v="2"/>
  </r>
  <r>
    <s v="C0459"/>
    <x v="4"/>
    <x v="6"/>
    <x v="8"/>
    <x v="2"/>
    <x v="3"/>
    <x v="1"/>
    <n v="86997.52"/>
    <x v="0"/>
    <n v="18"/>
    <n v="1565955.36"/>
    <x v="0"/>
  </r>
  <r>
    <s v="C0460"/>
    <x v="7"/>
    <x v="20"/>
    <x v="9"/>
    <x v="3"/>
    <x v="1"/>
    <x v="0"/>
    <n v="89695.19"/>
    <x v="0"/>
    <n v="10"/>
    <n v="896951.9"/>
    <x v="0"/>
  </r>
  <r>
    <s v="C0461"/>
    <x v="4"/>
    <x v="6"/>
    <x v="0"/>
    <x v="3"/>
    <x v="1"/>
    <x v="1"/>
    <n v="69815.820000000007"/>
    <x v="0"/>
    <n v="9"/>
    <n v="628342.38000000012"/>
    <x v="2"/>
  </r>
  <r>
    <s v="C0462"/>
    <x v="7"/>
    <x v="14"/>
    <x v="5"/>
    <x v="3"/>
    <x v="3"/>
    <x v="1"/>
    <n v="70305.320000000007"/>
    <x v="0"/>
    <n v="15"/>
    <n v="1054579.8"/>
    <x v="0"/>
  </r>
  <r>
    <s v="C0463"/>
    <x v="5"/>
    <x v="7"/>
    <x v="3"/>
    <x v="5"/>
    <x v="0"/>
    <x v="1"/>
    <n v="97547.49"/>
    <x v="1"/>
    <n v="9"/>
    <n v="877927.41"/>
    <x v="1"/>
  </r>
  <r>
    <s v="C0464"/>
    <x v="3"/>
    <x v="5"/>
    <x v="0"/>
    <x v="2"/>
    <x v="2"/>
    <x v="1"/>
    <n v="71865.37"/>
    <x v="0"/>
    <n v="0"/>
    <n v="0"/>
    <x v="2"/>
  </r>
  <r>
    <s v="C0465"/>
    <x v="5"/>
    <x v="16"/>
    <x v="5"/>
    <x v="0"/>
    <x v="1"/>
    <x v="1"/>
    <n v="97325.62"/>
    <x v="1"/>
    <n v="5"/>
    <n v="486628.1"/>
    <x v="1"/>
  </r>
  <r>
    <s v="C0466"/>
    <x v="4"/>
    <x v="11"/>
    <x v="8"/>
    <x v="2"/>
    <x v="0"/>
    <x v="1"/>
    <n v="31162.29"/>
    <x v="0"/>
    <n v="5"/>
    <n v="155811.45000000001"/>
    <x v="1"/>
  </r>
  <r>
    <s v="C0467"/>
    <x v="2"/>
    <x v="2"/>
    <x v="4"/>
    <x v="0"/>
    <x v="0"/>
    <x v="0"/>
    <n v="67754.28"/>
    <x v="0"/>
    <n v="5"/>
    <n v="338771.4"/>
    <x v="0"/>
  </r>
  <r>
    <s v="C0468"/>
    <x v="5"/>
    <x v="15"/>
    <x v="9"/>
    <x v="1"/>
    <x v="1"/>
    <x v="0"/>
    <n v="22864.84"/>
    <x v="0"/>
    <n v="3"/>
    <n v="68594.52"/>
    <x v="0"/>
  </r>
  <r>
    <s v="C0469"/>
    <x v="7"/>
    <x v="20"/>
    <x v="6"/>
    <x v="0"/>
    <x v="3"/>
    <x v="1"/>
    <n v="74126.210000000006"/>
    <x v="0"/>
    <n v="4"/>
    <n v="296504.84000000003"/>
    <x v="0"/>
  </r>
  <r>
    <s v="C0470"/>
    <x v="4"/>
    <x v="11"/>
    <x v="2"/>
    <x v="0"/>
    <x v="3"/>
    <x v="1"/>
    <n v="57972.89"/>
    <x v="0"/>
    <n v="15"/>
    <n v="869593.35"/>
    <x v="0"/>
  </r>
  <r>
    <s v="C0471"/>
    <x v="0"/>
    <x v="4"/>
    <x v="4"/>
    <x v="4"/>
    <x v="2"/>
    <x v="0"/>
    <n v="65330.42"/>
    <x v="0"/>
    <n v="14"/>
    <n v="914625.88"/>
    <x v="2"/>
  </r>
  <r>
    <s v="C0472"/>
    <x v="3"/>
    <x v="3"/>
    <x v="9"/>
    <x v="3"/>
    <x v="0"/>
    <x v="1"/>
    <n v="57968.41"/>
    <x v="0"/>
    <n v="16"/>
    <n v="927494.56"/>
    <x v="0"/>
  </r>
  <r>
    <s v="C0473"/>
    <x v="5"/>
    <x v="15"/>
    <x v="2"/>
    <x v="2"/>
    <x v="2"/>
    <x v="0"/>
    <n v="77673.89"/>
    <x v="0"/>
    <n v="5"/>
    <n v="388369.45"/>
    <x v="2"/>
  </r>
  <r>
    <s v="C0474"/>
    <x v="3"/>
    <x v="5"/>
    <x v="6"/>
    <x v="5"/>
    <x v="2"/>
    <x v="0"/>
    <n v="96801.96"/>
    <x v="1"/>
    <n v="17"/>
    <n v="1645633.32"/>
    <x v="2"/>
  </r>
  <r>
    <s v="C0475"/>
    <x v="4"/>
    <x v="6"/>
    <x v="3"/>
    <x v="3"/>
    <x v="2"/>
    <x v="1"/>
    <n v="39426.35"/>
    <x v="0"/>
    <n v="10"/>
    <n v="394263.5"/>
    <x v="2"/>
  </r>
  <r>
    <s v="C0476"/>
    <x v="0"/>
    <x v="19"/>
    <x v="3"/>
    <x v="1"/>
    <x v="2"/>
    <x v="0"/>
    <n v="98034.8"/>
    <x v="1"/>
    <n v="9"/>
    <n v="882313.20000000007"/>
    <x v="0"/>
  </r>
  <r>
    <s v="C0477"/>
    <x v="2"/>
    <x v="18"/>
    <x v="4"/>
    <x v="3"/>
    <x v="1"/>
    <x v="0"/>
    <n v="63023.81"/>
    <x v="0"/>
    <n v="17"/>
    <n v="1071404.77"/>
    <x v="2"/>
  </r>
  <r>
    <s v="C0478"/>
    <x v="4"/>
    <x v="17"/>
    <x v="1"/>
    <x v="1"/>
    <x v="1"/>
    <x v="1"/>
    <n v="39151.25"/>
    <x v="0"/>
    <n v="13"/>
    <n v="508966.25"/>
    <x v="1"/>
  </r>
  <r>
    <s v="C0479"/>
    <x v="1"/>
    <x v="10"/>
    <x v="1"/>
    <x v="1"/>
    <x v="1"/>
    <x v="0"/>
    <n v="95030.16"/>
    <x v="1"/>
    <n v="3"/>
    <n v="285090.48"/>
    <x v="0"/>
  </r>
  <r>
    <s v="C0480"/>
    <x v="0"/>
    <x v="0"/>
    <x v="5"/>
    <x v="1"/>
    <x v="0"/>
    <x v="0"/>
    <n v="69164.800000000003"/>
    <x v="0"/>
    <n v="7"/>
    <n v="484153.60000000003"/>
    <x v="0"/>
  </r>
  <r>
    <s v="C0481"/>
    <x v="4"/>
    <x v="11"/>
    <x v="0"/>
    <x v="3"/>
    <x v="2"/>
    <x v="1"/>
    <n v="53295.040000000001"/>
    <x v="0"/>
    <n v="12"/>
    <n v="639540.47999999998"/>
    <x v="0"/>
  </r>
  <r>
    <s v="C0482"/>
    <x v="0"/>
    <x v="0"/>
    <x v="2"/>
    <x v="5"/>
    <x v="2"/>
    <x v="1"/>
    <n v="47304.02"/>
    <x v="0"/>
    <n v="3"/>
    <n v="141912.06"/>
    <x v="1"/>
  </r>
  <r>
    <s v="C0483"/>
    <x v="7"/>
    <x v="20"/>
    <x v="5"/>
    <x v="1"/>
    <x v="1"/>
    <x v="1"/>
    <n v="57978.6"/>
    <x v="0"/>
    <n v="2"/>
    <n v="115957.2"/>
    <x v="0"/>
  </r>
  <r>
    <s v="C0484"/>
    <x v="0"/>
    <x v="0"/>
    <x v="2"/>
    <x v="3"/>
    <x v="0"/>
    <x v="0"/>
    <n v="35701.449999999997"/>
    <x v="0"/>
    <n v="10"/>
    <n v="357014.5"/>
    <x v="1"/>
  </r>
  <r>
    <s v="C0485"/>
    <x v="1"/>
    <x v="10"/>
    <x v="10"/>
    <x v="3"/>
    <x v="0"/>
    <x v="1"/>
    <n v="95460.71"/>
    <x v="1"/>
    <n v="8"/>
    <n v="763685.68"/>
    <x v="2"/>
  </r>
  <r>
    <s v="C0486"/>
    <x v="5"/>
    <x v="7"/>
    <x v="0"/>
    <x v="4"/>
    <x v="1"/>
    <x v="1"/>
    <n v="64128.73"/>
    <x v="0"/>
    <n v="4"/>
    <n v="256514.92"/>
    <x v="0"/>
  </r>
  <r>
    <s v="C0487"/>
    <x v="1"/>
    <x v="10"/>
    <x v="2"/>
    <x v="2"/>
    <x v="2"/>
    <x v="1"/>
    <n v="71823.77"/>
    <x v="0"/>
    <n v="2"/>
    <n v="143647.54"/>
    <x v="0"/>
  </r>
  <r>
    <s v="C0488"/>
    <x v="1"/>
    <x v="1"/>
    <x v="3"/>
    <x v="2"/>
    <x v="0"/>
    <x v="0"/>
    <n v="26437"/>
    <x v="0"/>
    <n v="15"/>
    <n v="396555"/>
    <x v="2"/>
  </r>
  <r>
    <s v="C0489"/>
    <x v="4"/>
    <x v="11"/>
    <x v="2"/>
    <x v="2"/>
    <x v="1"/>
    <x v="0"/>
    <n v="76993.42"/>
    <x v="0"/>
    <n v="7"/>
    <n v="538953.93999999994"/>
    <x v="1"/>
  </r>
  <r>
    <s v="C0490"/>
    <x v="5"/>
    <x v="15"/>
    <x v="4"/>
    <x v="5"/>
    <x v="2"/>
    <x v="0"/>
    <n v="53228.52"/>
    <x v="0"/>
    <n v="15"/>
    <n v="798427.79999999993"/>
    <x v="0"/>
  </r>
  <r>
    <s v="C0491"/>
    <x v="7"/>
    <x v="20"/>
    <x v="10"/>
    <x v="0"/>
    <x v="0"/>
    <x v="0"/>
    <n v="19841.22"/>
    <x v="0"/>
    <n v="5"/>
    <n v="99206.1"/>
    <x v="2"/>
  </r>
  <r>
    <s v="C0492"/>
    <x v="1"/>
    <x v="1"/>
    <x v="10"/>
    <x v="1"/>
    <x v="1"/>
    <x v="1"/>
    <n v="16340.85"/>
    <x v="0"/>
    <n v="10"/>
    <n v="163408.5"/>
    <x v="0"/>
  </r>
  <r>
    <s v="C0493"/>
    <x v="0"/>
    <x v="19"/>
    <x v="7"/>
    <x v="5"/>
    <x v="3"/>
    <x v="0"/>
    <n v="31016.48"/>
    <x v="0"/>
    <n v="19"/>
    <n v="589313.12"/>
    <x v="1"/>
  </r>
  <r>
    <s v="C0494"/>
    <x v="0"/>
    <x v="19"/>
    <x v="7"/>
    <x v="2"/>
    <x v="1"/>
    <x v="1"/>
    <n v="42214.03"/>
    <x v="0"/>
    <n v="19"/>
    <n v="802066.57"/>
    <x v="1"/>
  </r>
  <r>
    <s v="C0495"/>
    <x v="1"/>
    <x v="8"/>
    <x v="2"/>
    <x v="5"/>
    <x v="3"/>
    <x v="0"/>
    <n v="97334.54"/>
    <x v="1"/>
    <n v="18"/>
    <n v="1752021.72"/>
    <x v="2"/>
  </r>
  <r>
    <s v="C0496"/>
    <x v="5"/>
    <x v="16"/>
    <x v="0"/>
    <x v="0"/>
    <x v="3"/>
    <x v="1"/>
    <n v="53580.76"/>
    <x v="0"/>
    <n v="14"/>
    <n v="750130.64"/>
    <x v="0"/>
  </r>
  <r>
    <s v="C0497"/>
    <x v="2"/>
    <x v="9"/>
    <x v="6"/>
    <x v="5"/>
    <x v="1"/>
    <x v="1"/>
    <n v="24233.93"/>
    <x v="0"/>
    <n v="8"/>
    <n v="193871.44"/>
    <x v="0"/>
  </r>
  <r>
    <s v="C0498"/>
    <x v="4"/>
    <x v="17"/>
    <x v="2"/>
    <x v="0"/>
    <x v="0"/>
    <x v="1"/>
    <n v="55534.6"/>
    <x v="0"/>
    <n v="15"/>
    <n v="833019"/>
    <x v="0"/>
  </r>
  <r>
    <s v="C0499"/>
    <x v="1"/>
    <x v="1"/>
    <x v="3"/>
    <x v="1"/>
    <x v="3"/>
    <x v="1"/>
    <n v="59691.91"/>
    <x v="0"/>
    <n v="14"/>
    <n v="835686.74"/>
    <x v="1"/>
  </r>
  <r>
    <s v="C0500"/>
    <x v="4"/>
    <x v="17"/>
    <x v="9"/>
    <x v="1"/>
    <x v="1"/>
    <x v="0"/>
    <n v="75993.8"/>
    <x v="0"/>
    <n v="6"/>
    <n v="455962.8000000000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BEDEB9-0302-4D18-BEC0-30FCD966E4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2">
    <pivotField dataField="1" showAll="0"/>
    <pivotField showAll="0">
      <items count="9">
        <item x="5"/>
        <item x="3"/>
        <item x="7"/>
        <item x="4"/>
        <item x="2"/>
        <item x="1"/>
        <item x="0"/>
        <item x="6"/>
        <item t="default"/>
      </items>
    </pivotField>
    <pivotField showAll="0"/>
    <pivotField showAll="0">
      <items count="12">
        <item x="8"/>
        <item x="4"/>
        <item x="7"/>
        <item x="2"/>
        <item x="1"/>
        <item x="5"/>
        <item x="6"/>
        <item x="10"/>
        <item x="0"/>
        <item x="9"/>
        <item x="3"/>
        <item t="default"/>
      </items>
    </pivotField>
    <pivotField showAll="0"/>
    <pivotField showAll="0">
      <items count="5">
        <item x="3"/>
        <item x="1"/>
        <item x="2"/>
        <item x="0"/>
        <item t="default"/>
      </items>
    </pivotField>
    <pivotField showAll="0"/>
    <pivotField numFmtId="164" showAll="0"/>
    <pivotField showAll="0"/>
    <pivotField showAll="0"/>
    <pivotField numFmtId="164" showAll="0"/>
    <pivotField axis="axisRow" showAll="0">
      <items count="4">
        <item x="0"/>
        <item x="1"/>
        <item x="2"/>
        <item t="default"/>
      </items>
    </pivotField>
  </pivotFields>
  <rowFields count="1">
    <field x="11"/>
  </rowFields>
  <rowItems count="4">
    <i>
      <x/>
    </i>
    <i>
      <x v="1"/>
    </i>
    <i>
      <x v="2"/>
    </i>
    <i t="grand">
      <x/>
    </i>
  </rowItems>
  <colItems count="1">
    <i/>
  </colItems>
  <dataFields count="1">
    <dataField name="Count of Car_ID" fld="0"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1" count="1" selected="0">
            <x v="0"/>
          </reference>
        </references>
      </pivotArea>
    </chartFormat>
    <chartFormat chart="8" format="10">
      <pivotArea type="data" outline="0" fieldPosition="0">
        <references count="2">
          <reference field="4294967294" count="1" selected="0">
            <x v="0"/>
          </reference>
          <reference field="11" count="1" selected="0">
            <x v="1"/>
          </reference>
        </references>
      </pivotArea>
    </chartFormat>
    <chartFormat chart="8" format="11">
      <pivotArea type="data" outline="0" fieldPosition="0">
        <references count="2">
          <reference field="4294967294" count="1" selected="0">
            <x v="0"/>
          </reference>
          <reference field="11"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1" count="1" selected="0">
            <x v="0"/>
          </reference>
        </references>
      </pivotArea>
    </chartFormat>
    <chartFormat chart="16" format="10">
      <pivotArea type="data" outline="0" fieldPosition="0">
        <references count="2">
          <reference field="4294967294" count="1" selected="0">
            <x v="0"/>
          </reference>
          <reference field="11" count="1" selected="0">
            <x v="1"/>
          </reference>
        </references>
      </pivotArea>
    </chartFormat>
    <chartFormat chart="16" format="11">
      <pivotArea type="data" outline="0" fieldPosition="0">
        <references count="2">
          <reference field="4294967294" count="1" selected="0">
            <x v="0"/>
          </reference>
          <reference field="11" count="1" selected="0">
            <x v="2"/>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1" count="1" selected="0">
            <x v="0"/>
          </reference>
        </references>
      </pivotArea>
    </chartFormat>
    <chartFormat chart="17" format="14">
      <pivotArea type="data" outline="0" fieldPosition="0">
        <references count="2">
          <reference field="4294967294" count="1" selected="0">
            <x v="0"/>
          </reference>
          <reference field="11" count="1" selected="0">
            <x v="1"/>
          </reference>
        </references>
      </pivotArea>
    </chartFormat>
    <chartFormat chart="17" format="1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D389D5-E518-47F5-9A84-4F0DBA7A0E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13" firstHeaderRow="1" firstDataRow="2" firstDataCol="1"/>
  <pivotFields count="12">
    <pivotField dataField="1" showAll="0"/>
    <pivotField axis="axisRow" showAll="0">
      <items count="9">
        <item x="5"/>
        <item x="3"/>
        <item x="7"/>
        <item x="4"/>
        <item x="2"/>
        <item x="1"/>
        <item x="0"/>
        <item x="6"/>
        <item t="default"/>
      </items>
    </pivotField>
    <pivotField showAll="0"/>
    <pivotField showAll="0">
      <items count="12">
        <item x="8"/>
        <item x="4"/>
        <item x="7"/>
        <item x="2"/>
        <item x="1"/>
        <item x="5"/>
        <item x="6"/>
        <item x="10"/>
        <item x="0"/>
        <item x="9"/>
        <item x="3"/>
        <item t="default"/>
      </items>
    </pivotField>
    <pivotField showAll="0"/>
    <pivotField showAll="0">
      <items count="5">
        <item x="3"/>
        <item x="1"/>
        <item x="2"/>
        <item x="0"/>
        <item t="default"/>
      </items>
    </pivotField>
    <pivotField showAll="0"/>
    <pivotField numFmtId="164" showAll="0"/>
    <pivotField showAll="0"/>
    <pivotField showAll="0"/>
    <pivotField numFmtId="164" showAll="0"/>
    <pivotField axis="axisCol" showAll="0">
      <items count="4">
        <item x="0"/>
        <item x="1"/>
        <item x="2"/>
        <item t="default"/>
      </items>
    </pivotField>
  </pivotFields>
  <rowFields count="1">
    <field x="1"/>
  </rowFields>
  <rowItems count="9">
    <i>
      <x/>
    </i>
    <i>
      <x v="1"/>
    </i>
    <i>
      <x v="2"/>
    </i>
    <i>
      <x v="3"/>
    </i>
    <i>
      <x v="4"/>
    </i>
    <i>
      <x v="5"/>
    </i>
    <i>
      <x v="6"/>
    </i>
    <i>
      <x v="7"/>
    </i>
    <i t="grand">
      <x/>
    </i>
  </rowItems>
  <colFields count="1">
    <field x="11"/>
  </colFields>
  <colItems count="4">
    <i>
      <x/>
    </i>
    <i>
      <x v="1"/>
    </i>
    <i>
      <x v="2"/>
    </i>
    <i t="grand">
      <x/>
    </i>
  </colItems>
  <dataFields count="1">
    <dataField name="Count of Car_ID" fld="0" subtotal="count" baseField="0" baseItem="0"/>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 chart="5"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1586C-E9DD-4731-9962-9337B86104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rowPageCount="1" colPageCount="1"/>
  <pivotFields count="12">
    <pivotField showAll="0"/>
    <pivotField axis="axisRow" showAll="0">
      <items count="9">
        <item x="5"/>
        <item x="3"/>
        <item x="7"/>
        <item x="4"/>
        <item x="2"/>
        <item x="1"/>
        <item x="0"/>
        <item x="6"/>
        <item t="default"/>
      </items>
    </pivotField>
    <pivotField showAll="0"/>
    <pivotField showAll="0">
      <items count="12">
        <item x="8"/>
        <item x="4"/>
        <item x="7"/>
        <item x="2"/>
        <item x="1"/>
        <item x="5"/>
        <item x="6"/>
        <item x="10"/>
        <item x="0"/>
        <item x="9"/>
        <item x="3"/>
        <item t="default"/>
      </items>
    </pivotField>
    <pivotField showAll="0"/>
    <pivotField showAll="0">
      <items count="5">
        <item x="3"/>
        <item x="1"/>
        <item x="2"/>
        <item x="0"/>
        <item t="default"/>
      </items>
    </pivotField>
    <pivotField showAll="0"/>
    <pivotField numFmtId="164" showAll="0"/>
    <pivotField showAll="0"/>
    <pivotField dataField="1" showAll="0"/>
    <pivotField numFmtId="164" showAll="0"/>
    <pivotField axis="axisPage" multipleItemSelectionAllowed="1" showAll="0">
      <items count="4">
        <item x="0"/>
        <item x="1"/>
        <item x="2"/>
        <item t="default"/>
      </items>
    </pivotField>
  </pivotFields>
  <rowFields count="1">
    <field x="1"/>
  </rowFields>
  <rowItems count="9">
    <i>
      <x/>
    </i>
    <i>
      <x v="1"/>
    </i>
    <i>
      <x v="2"/>
    </i>
    <i>
      <x v="3"/>
    </i>
    <i>
      <x v="4"/>
    </i>
    <i>
      <x v="5"/>
    </i>
    <i>
      <x v="6"/>
    </i>
    <i>
      <x v="7"/>
    </i>
    <i t="grand">
      <x/>
    </i>
  </rowItems>
  <colItems count="1">
    <i/>
  </colItems>
  <pageFields count="1">
    <pageField fld="11" hier="-1"/>
  </pageFields>
  <dataFields count="1">
    <dataField name="Sum of Quantity_In_Stock" fld="9" baseField="0"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 count="1" selected="0">
            <x v="0"/>
          </reference>
        </references>
      </pivotArea>
    </chartFormat>
    <chartFormat chart="6" format="20">
      <pivotArea type="data" outline="0" fieldPosition="0">
        <references count="2">
          <reference field="4294967294" count="1" selected="0">
            <x v="0"/>
          </reference>
          <reference field="1" count="1" selected="0">
            <x v="1"/>
          </reference>
        </references>
      </pivotArea>
    </chartFormat>
    <chartFormat chart="6" format="21">
      <pivotArea type="data" outline="0" fieldPosition="0">
        <references count="2">
          <reference field="4294967294" count="1" selected="0">
            <x v="0"/>
          </reference>
          <reference field="1" count="1" selected="0">
            <x v="2"/>
          </reference>
        </references>
      </pivotArea>
    </chartFormat>
    <chartFormat chart="6" format="22">
      <pivotArea type="data" outline="0" fieldPosition="0">
        <references count="2">
          <reference field="4294967294" count="1" selected="0">
            <x v="0"/>
          </reference>
          <reference field="1" count="1" selected="0">
            <x v="3"/>
          </reference>
        </references>
      </pivotArea>
    </chartFormat>
    <chartFormat chart="6" format="23">
      <pivotArea type="data" outline="0" fieldPosition="0">
        <references count="2">
          <reference field="4294967294" count="1" selected="0">
            <x v="0"/>
          </reference>
          <reference field="1" count="1" selected="0">
            <x v="4"/>
          </reference>
        </references>
      </pivotArea>
    </chartFormat>
    <chartFormat chart="6" format="24">
      <pivotArea type="data" outline="0" fieldPosition="0">
        <references count="2">
          <reference field="4294967294" count="1" selected="0">
            <x v="0"/>
          </reference>
          <reference field="1" count="1" selected="0">
            <x v="5"/>
          </reference>
        </references>
      </pivotArea>
    </chartFormat>
    <chartFormat chart="6" format="25">
      <pivotArea type="data" outline="0" fieldPosition="0">
        <references count="2">
          <reference field="4294967294" count="1" selected="0">
            <x v="0"/>
          </reference>
          <reference field="1" count="1" selected="0">
            <x v="6"/>
          </reference>
        </references>
      </pivotArea>
    </chartFormat>
    <chartFormat chart="6" format="26">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60CBF0-A3DE-41D1-AA79-9CC4D00561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2" firstHeaderRow="1" firstDataRow="1" firstDataCol="1" rowPageCount="1" colPageCount="1"/>
  <pivotFields count="12">
    <pivotField showAll="0"/>
    <pivotField axis="axisRow" showAll="0">
      <items count="9">
        <item x="5"/>
        <item x="3"/>
        <item x="7"/>
        <item x="4"/>
        <item x="2"/>
        <item x="1"/>
        <item x="0"/>
        <item x="6"/>
        <item t="default"/>
      </items>
    </pivotField>
    <pivotField showAll="0"/>
    <pivotField showAll="0">
      <items count="12">
        <item x="8"/>
        <item x="4"/>
        <item x="7"/>
        <item x="2"/>
        <item x="1"/>
        <item x="5"/>
        <item x="6"/>
        <item x="10"/>
        <item x="0"/>
        <item x="9"/>
        <item x="3"/>
        <item t="default"/>
      </items>
    </pivotField>
    <pivotField showAll="0"/>
    <pivotField showAll="0">
      <items count="5">
        <item x="3"/>
        <item x="1"/>
        <item x="2"/>
        <item x="0"/>
        <item t="default"/>
      </items>
    </pivotField>
    <pivotField showAll="0"/>
    <pivotField numFmtId="164" showAll="0"/>
    <pivotField showAll="0"/>
    <pivotField showAll="0"/>
    <pivotField dataField="1" numFmtId="164" showAll="0"/>
    <pivotField axis="axisPage" multipleItemSelectionAllowed="1" showAll="0">
      <items count="4">
        <item x="0"/>
        <item x="1"/>
        <item x="2"/>
        <item t="default"/>
      </items>
    </pivotField>
  </pivotFields>
  <rowFields count="1">
    <field x="1"/>
  </rowFields>
  <rowItems count="9">
    <i>
      <x/>
    </i>
    <i>
      <x v="1"/>
    </i>
    <i>
      <x v="2"/>
    </i>
    <i>
      <x v="3"/>
    </i>
    <i>
      <x v="4"/>
    </i>
    <i>
      <x v="5"/>
    </i>
    <i>
      <x v="6"/>
    </i>
    <i>
      <x v="7"/>
    </i>
    <i t="grand">
      <x/>
    </i>
  </rowItems>
  <colItems count="1">
    <i/>
  </colItems>
  <pageFields count="1">
    <pageField fld="11" hier="-1"/>
  </pageFields>
  <dataFields count="1">
    <dataField name="Sum of Brand_Revenue" fld="10" baseField="0" baseItem="0" numFmtId="164"/>
  </dataFields>
  <chartFormats count="2">
    <chartFormat chart="0"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A5CE49-EB7F-41AB-94AE-E63C28167B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5" firstHeaderRow="1" firstDataRow="1" firstDataCol="1" rowPageCount="1" colPageCount="1"/>
  <pivotFields count="12">
    <pivotField showAll="0"/>
    <pivotField showAll="0">
      <items count="9">
        <item x="5"/>
        <item x="3"/>
        <item x="7"/>
        <item x="4"/>
        <item x="2"/>
        <item x="1"/>
        <item x="0"/>
        <item x="6"/>
        <item t="default"/>
      </items>
    </pivotField>
    <pivotField axis="axisRow" showAll="0">
      <items count="22">
        <item x="7"/>
        <item x="15"/>
        <item x="9"/>
        <item x="0"/>
        <item x="6"/>
        <item x="14"/>
        <item x="19"/>
        <item x="11"/>
        <item x="5"/>
        <item x="17"/>
        <item x="1"/>
        <item x="8"/>
        <item x="10"/>
        <item x="2"/>
        <item x="4"/>
        <item x="20"/>
        <item x="3"/>
        <item x="12"/>
        <item x="18"/>
        <item x="13"/>
        <item x="16"/>
        <item t="default"/>
      </items>
    </pivotField>
    <pivotField showAll="0">
      <items count="12">
        <item x="8"/>
        <item x="4"/>
        <item x="7"/>
        <item x="2"/>
        <item x="1"/>
        <item x="5"/>
        <item x="6"/>
        <item x="10"/>
        <item x="0"/>
        <item x="9"/>
        <item x="3"/>
        <item t="default"/>
      </items>
    </pivotField>
    <pivotField showAll="0"/>
    <pivotField showAll="0">
      <items count="5">
        <item x="3"/>
        <item x="1"/>
        <item x="2"/>
        <item x="0"/>
        <item t="default"/>
      </items>
    </pivotField>
    <pivotField showAll="0"/>
    <pivotField numFmtId="164" showAll="0"/>
    <pivotField showAll="0"/>
    <pivotField dataField="1" showAll="0"/>
    <pivotField numFmtId="164" showAll="0"/>
    <pivotField axis="axisPage" multipleItemSelectionAllowed="1" showAll="0">
      <items count="4">
        <item x="0"/>
        <item x="1"/>
        <item x="2"/>
        <item t="default"/>
      </items>
    </pivotField>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Items count="1">
    <i/>
  </colItems>
  <pageFields count="1">
    <pageField fld="11" hier="-1"/>
  </pageFields>
  <dataFields count="1">
    <dataField name="Sum of Quantity_In_Stock" fld="9"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5C45C1-492E-430B-8630-E6FD9E11C75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5" firstHeaderRow="1" firstDataRow="1" firstDataCol="1" rowPageCount="1" colPageCount="1"/>
  <pivotFields count="12">
    <pivotField showAll="0"/>
    <pivotField showAll="0">
      <items count="9">
        <item x="5"/>
        <item x="3"/>
        <item x="7"/>
        <item x="4"/>
        <item x="2"/>
        <item x="1"/>
        <item x="0"/>
        <item x="6"/>
        <item t="default"/>
      </items>
    </pivotField>
    <pivotField showAll="0"/>
    <pivotField axis="axisRow" showAll="0">
      <items count="12">
        <item x="8"/>
        <item x="4"/>
        <item x="7"/>
        <item x="2"/>
        <item x="1"/>
        <item x="5"/>
        <item x="6"/>
        <item x="10"/>
        <item x="0"/>
        <item x="9"/>
        <item x="3"/>
        <item t="default"/>
      </items>
    </pivotField>
    <pivotField showAll="0"/>
    <pivotField showAll="0">
      <items count="5">
        <item x="3"/>
        <item x="1"/>
        <item x="2"/>
        <item x="0"/>
        <item t="default"/>
      </items>
    </pivotField>
    <pivotField showAll="0"/>
    <pivotField numFmtId="164" showAll="0"/>
    <pivotField showAll="0"/>
    <pivotField dataField="1" showAll="0"/>
    <pivotField numFmtId="164" showAll="0"/>
    <pivotField axis="axisPage" multipleItemSelectionAllowed="1" showAll="0">
      <items count="4">
        <item x="0"/>
        <item x="1"/>
        <item x="2"/>
        <item t="default"/>
      </items>
    </pivotField>
  </pivotFields>
  <rowFields count="1">
    <field x="3"/>
  </rowFields>
  <rowItems count="12">
    <i>
      <x/>
    </i>
    <i>
      <x v="1"/>
    </i>
    <i>
      <x v="2"/>
    </i>
    <i>
      <x v="3"/>
    </i>
    <i>
      <x v="4"/>
    </i>
    <i>
      <x v="5"/>
    </i>
    <i>
      <x v="6"/>
    </i>
    <i>
      <x v="7"/>
    </i>
    <i>
      <x v="8"/>
    </i>
    <i>
      <x v="9"/>
    </i>
    <i>
      <x v="10"/>
    </i>
    <i t="grand">
      <x/>
    </i>
  </rowItems>
  <colItems count="1">
    <i/>
  </colItems>
  <pageFields count="1">
    <pageField fld="11" hier="-1"/>
  </pageFields>
  <dataFields count="1">
    <dataField name="Sum of Quantity_In_Stock" fld="9"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32AEFF-89A2-49CB-B7EF-5867F72303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7" firstHeaderRow="1" firstDataRow="2" firstDataCol="1"/>
  <pivotFields count="12">
    <pivotField dataField="1" showAll="0"/>
    <pivotField showAll="0">
      <items count="9">
        <item x="5"/>
        <item x="3"/>
        <item x="7"/>
        <item x="4"/>
        <item x="2"/>
        <item x="1"/>
        <item x="0"/>
        <item x="6"/>
        <item t="default"/>
      </items>
    </pivotField>
    <pivotField showAll="0"/>
    <pivotField showAll="0">
      <items count="12">
        <item x="8"/>
        <item x="4"/>
        <item x="7"/>
        <item x="2"/>
        <item x="1"/>
        <item x="5"/>
        <item x="6"/>
        <item x="10"/>
        <item x="0"/>
        <item x="9"/>
        <item x="3"/>
        <item t="default"/>
      </items>
    </pivotField>
    <pivotField showAll="0"/>
    <pivotField showAll="0">
      <items count="5">
        <item x="3"/>
        <item x="1"/>
        <item x="2"/>
        <item x="0"/>
        <item t="default"/>
      </items>
    </pivotField>
    <pivotField axis="axisRow" showAll="0">
      <items count="4">
        <item x="0"/>
        <item h="1" m="1" x="2"/>
        <item x="1"/>
        <item t="default"/>
      </items>
    </pivotField>
    <pivotField numFmtId="164" showAll="0"/>
    <pivotField showAll="0"/>
    <pivotField showAll="0"/>
    <pivotField numFmtId="164" showAll="0"/>
    <pivotField axis="axisCol" showAll="0">
      <items count="4">
        <item x="0"/>
        <item x="1"/>
        <item x="2"/>
        <item t="default"/>
      </items>
    </pivotField>
  </pivotFields>
  <rowFields count="1">
    <field x="6"/>
  </rowFields>
  <rowItems count="3">
    <i>
      <x/>
    </i>
    <i>
      <x v="2"/>
    </i>
    <i t="grand">
      <x/>
    </i>
  </rowItems>
  <colFields count="1">
    <field x="11"/>
  </colFields>
  <colItems count="4">
    <i>
      <x/>
    </i>
    <i>
      <x v="1"/>
    </i>
    <i>
      <x v="2"/>
    </i>
    <i t="grand">
      <x/>
    </i>
  </colItems>
  <dataFields count="1">
    <dataField name="Count of Car_ID" fld="0" subtotal="count" baseField="0" baseItem="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3">
          <reference field="4294967294" count="1" selected="0">
            <x v="0"/>
          </reference>
          <reference field="6" count="1" selected="0">
            <x v="0"/>
          </reference>
          <reference field="11" count="1" selected="0">
            <x v="0"/>
          </reference>
        </references>
      </pivotArea>
    </chartFormat>
    <chartFormat chart="0" format="4">
      <pivotArea type="data" outline="0" fieldPosition="0">
        <references count="3">
          <reference field="4294967294" count="1" selected="0">
            <x v="0"/>
          </reference>
          <reference field="6" count="1" selected="0">
            <x v="2"/>
          </reference>
          <reference field="11" count="1" selected="0">
            <x v="0"/>
          </reference>
        </references>
      </pivotArea>
    </chartFormat>
    <chartFormat chart="0" format="5">
      <pivotArea type="data" outline="0" fieldPosition="0">
        <references count="3">
          <reference field="4294967294" count="1" selected="0">
            <x v="0"/>
          </reference>
          <reference field="6" count="1" selected="0">
            <x v="0"/>
          </reference>
          <reference field="11" count="1" selected="0">
            <x v="1"/>
          </reference>
        </references>
      </pivotArea>
    </chartFormat>
    <chartFormat chart="0" format="6">
      <pivotArea type="data" outline="0" fieldPosition="0">
        <references count="3">
          <reference field="4294967294" count="1" selected="0">
            <x v="0"/>
          </reference>
          <reference field="6" count="1" selected="0">
            <x v="2"/>
          </reference>
          <reference field="11" count="1" selected="0">
            <x v="1"/>
          </reference>
        </references>
      </pivotArea>
    </chartFormat>
    <chartFormat chart="0" format="7">
      <pivotArea type="data" outline="0" fieldPosition="0">
        <references count="3">
          <reference field="4294967294" count="1" selected="0">
            <x v="0"/>
          </reference>
          <reference field="6" count="1" selected="0">
            <x v="0"/>
          </reference>
          <reference field="11" count="1" selected="0">
            <x v="2"/>
          </reference>
        </references>
      </pivotArea>
    </chartFormat>
    <chartFormat chart="0" format="8">
      <pivotArea type="data" outline="0" fieldPosition="0">
        <references count="3">
          <reference field="4294967294" count="1" selected="0">
            <x v="0"/>
          </reference>
          <reference field="6" count="1" selected="0">
            <x v="2"/>
          </reference>
          <reference field="11" count="1" selected="0">
            <x v="2"/>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850686-C059-41C9-BA3F-B0F2AE2E993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pivotFields count="12">
    <pivotField showAll="0"/>
    <pivotField showAll="0">
      <items count="9">
        <item x="5"/>
        <item x="3"/>
        <item x="7"/>
        <item x="4"/>
        <item x="2"/>
        <item x="1"/>
        <item x="0"/>
        <item x="6"/>
        <item t="default"/>
      </items>
    </pivotField>
    <pivotField showAll="0"/>
    <pivotField showAll="0">
      <items count="12">
        <item x="8"/>
        <item x="4"/>
        <item x="7"/>
        <item x="2"/>
        <item x="1"/>
        <item x="5"/>
        <item x="6"/>
        <item x="10"/>
        <item x="0"/>
        <item x="9"/>
        <item x="3"/>
        <item t="default"/>
      </items>
    </pivotField>
    <pivotField showAll="0"/>
    <pivotField axis="axisRow" showAll="0">
      <items count="5">
        <item x="3"/>
        <item x="1"/>
        <item x="2"/>
        <item x="0"/>
        <item t="default"/>
      </items>
    </pivotField>
    <pivotField showAll="0"/>
    <pivotField numFmtId="164" showAll="0"/>
    <pivotField showAll="0"/>
    <pivotField dataField="1" showAll="0"/>
    <pivotField numFmtId="165" showAll="0"/>
    <pivotField axis="axisCol" showAll="0">
      <items count="4">
        <item x="0"/>
        <item x="1"/>
        <item x="2"/>
        <item t="default"/>
      </items>
    </pivotField>
  </pivotFields>
  <rowFields count="1">
    <field x="5"/>
  </rowFields>
  <rowItems count="5">
    <i>
      <x/>
    </i>
    <i>
      <x v="1"/>
    </i>
    <i>
      <x v="2"/>
    </i>
    <i>
      <x v="3"/>
    </i>
    <i t="grand">
      <x/>
    </i>
  </rowItems>
  <colFields count="1">
    <field x="11"/>
  </colFields>
  <colItems count="4">
    <i>
      <x/>
    </i>
    <i>
      <x v="1"/>
    </i>
    <i>
      <x v="2"/>
    </i>
    <i t="grand">
      <x/>
    </i>
  </colItems>
  <dataFields count="1">
    <dataField name="Sum of Quantity_In_Stock" fld="9" baseField="0" baseItem="0"/>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 chart="4"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ECCEC6-8D11-4C81-B40E-3DD2E437A80E}"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3:G8" firstHeaderRow="1" firstDataRow="3" firstDataCol="1"/>
  <pivotFields count="12">
    <pivotField dataField="1" showAll="0"/>
    <pivotField showAll="0">
      <items count="9">
        <item x="5"/>
        <item x="3"/>
        <item x="7"/>
        <item x="4"/>
        <item x="2"/>
        <item x="1"/>
        <item x="0"/>
        <item x="6"/>
        <item t="default"/>
      </items>
    </pivotField>
    <pivotField showAll="0"/>
    <pivotField showAll="0">
      <items count="12">
        <item x="8"/>
        <item x="4"/>
        <item x="7"/>
        <item x="2"/>
        <item x="1"/>
        <item x="5"/>
        <item x="6"/>
        <item x="10"/>
        <item x="0"/>
        <item x="9"/>
        <item x="3"/>
        <item t="default"/>
      </items>
    </pivotField>
    <pivotField showAll="0"/>
    <pivotField showAll="0">
      <items count="5">
        <item x="3"/>
        <item x="1"/>
        <item x="2"/>
        <item x="0"/>
        <item t="default"/>
      </items>
    </pivotField>
    <pivotField showAll="0"/>
    <pivotField numFmtId="164" showAll="0"/>
    <pivotField axis="axisRow" showAll="0">
      <items count="3">
        <item x="0"/>
        <item x="1"/>
        <item t="default"/>
      </items>
    </pivotField>
    <pivotField showAll="0"/>
    <pivotField dataField="1" numFmtId="165" showAll="0"/>
    <pivotField axis="axisCol" showAll="0">
      <items count="4">
        <item x="0"/>
        <item x="1"/>
        <item x="2"/>
        <item t="default"/>
      </items>
    </pivotField>
  </pivotFields>
  <rowFields count="1">
    <field x="8"/>
  </rowFields>
  <rowItems count="3">
    <i>
      <x/>
    </i>
    <i>
      <x v="1"/>
    </i>
    <i t="grand">
      <x/>
    </i>
  </rowItems>
  <colFields count="2">
    <field x="11"/>
    <field x="-2"/>
  </colFields>
  <colItems count="6">
    <i>
      <x/>
      <x/>
    </i>
    <i r="1" i="1">
      <x v="1"/>
    </i>
    <i>
      <x v="1"/>
      <x/>
    </i>
    <i r="1" i="1">
      <x v="1"/>
    </i>
    <i>
      <x v="2"/>
      <x/>
    </i>
    <i r="1" i="1">
      <x v="1"/>
    </i>
  </colItems>
  <dataFields count="2">
    <dataField name="Count of Car_ID" fld="0" subtotal="count" baseField="0" baseItem="0"/>
    <dataField name="Sum of Brand_Revenue" fld="10" baseField="0" baseItem="0" numFmtId="165"/>
  </dataField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1"/>
          </reference>
          <reference field="11" count="1" selected="0">
            <x v="0"/>
          </reference>
        </references>
      </pivotArea>
    </chartFormat>
    <chartFormat chart="0" format="2" series="1">
      <pivotArea type="data" outline="0" fieldPosition="0">
        <references count="2">
          <reference field="4294967294" count="1" selected="0">
            <x v="0"/>
          </reference>
          <reference field="11" count="1" selected="0">
            <x v="1"/>
          </reference>
        </references>
      </pivotArea>
    </chartFormat>
    <chartFormat chart="0" format="3" series="1">
      <pivotArea type="data" outline="0" fieldPosition="0">
        <references count="2">
          <reference field="4294967294" count="1" selected="0">
            <x v="1"/>
          </reference>
          <reference field="11" count="1" selected="0">
            <x v="1"/>
          </reference>
        </references>
      </pivotArea>
    </chartFormat>
    <chartFormat chart="0" format="4" series="1">
      <pivotArea type="data" outline="0" fieldPosition="0">
        <references count="2">
          <reference field="4294967294" count="1" selected="0">
            <x v="0"/>
          </reference>
          <reference field="11" count="1" selected="0">
            <x v="2"/>
          </reference>
        </references>
      </pivotArea>
    </chartFormat>
    <chartFormat chart="0" format="5" series="1">
      <pivotArea type="data" outline="0" fieldPosition="0">
        <references count="2">
          <reference field="4294967294" count="1" selected="0">
            <x v="1"/>
          </reference>
          <reference field="11" count="1" selected="0">
            <x v="2"/>
          </reference>
        </references>
      </pivotArea>
    </chartFormat>
    <chartFormat chart="4" format="12" series="1">
      <pivotArea type="data" outline="0" fieldPosition="0">
        <references count="2">
          <reference field="4294967294" count="1" selected="0">
            <x v="0"/>
          </reference>
          <reference field="11" count="1" selected="0">
            <x v="0"/>
          </reference>
        </references>
      </pivotArea>
    </chartFormat>
    <chartFormat chart="4" format="13" series="1">
      <pivotArea type="data" outline="0" fieldPosition="0">
        <references count="2">
          <reference field="4294967294" count="1" selected="0">
            <x v="1"/>
          </reference>
          <reference field="11" count="1" selected="0">
            <x v="0"/>
          </reference>
        </references>
      </pivotArea>
    </chartFormat>
    <chartFormat chart="4" format="14" series="1">
      <pivotArea type="data" outline="0" fieldPosition="0">
        <references count="2">
          <reference field="4294967294" count="1" selected="0">
            <x v="0"/>
          </reference>
          <reference field="11" count="1" selected="0">
            <x v="1"/>
          </reference>
        </references>
      </pivotArea>
    </chartFormat>
    <chartFormat chart="4" format="15" series="1">
      <pivotArea type="data" outline="0" fieldPosition="0">
        <references count="2">
          <reference field="4294967294" count="1" selected="0">
            <x v="1"/>
          </reference>
          <reference field="11" count="1" selected="0">
            <x v="1"/>
          </reference>
        </references>
      </pivotArea>
    </chartFormat>
    <chartFormat chart="4" format="16" series="1">
      <pivotArea type="data" outline="0" fieldPosition="0">
        <references count="2">
          <reference field="4294967294" count="1" selected="0">
            <x v="0"/>
          </reference>
          <reference field="11" count="1" selected="0">
            <x v="2"/>
          </reference>
        </references>
      </pivotArea>
    </chartFormat>
    <chartFormat chart="4" format="17" series="1">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D173DC-71C9-4745-8F5E-E8928FBE4A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A5" firstHeaderRow="1" firstDataRow="1" firstDataCol="0" rowPageCount="1" colPageCount="1"/>
  <pivotFields count="12">
    <pivotField dataField="1" showAll="0"/>
    <pivotField axis="axisPage" multipleItemSelectionAllowed="1" showAll="0">
      <items count="9">
        <item x="5"/>
        <item x="3"/>
        <item x="7"/>
        <item x="4"/>
        <item x="2"/>
        <item x="1"/>
        <item x="0"/>
        <item x="6"/>
        <item t="default"/>
      </items>
    </pivotField>
    <pivotField showAll="0"/>
    <pivotField showAll="0">
      <items count="12">
        <item x="8"/>
        <item x="4"/>
        <item x="7"/>
        <item x="2"/>
        <item x="1"/>
        <item x="5"/>
        <item x="6"/>
        <item x="10"/>
        <item x="0"/>
        <item x="9"/>
        <item x="3"/>
        <item t="default"/>
      </items>
    </pivotField>
    <pivotField showAll="0">
      <items count="7">
        <item x="5"/>
        <item x="1"/>
        <item x="3"/>
        <item x="0"/>
        <item x="4"/>
        <item x="2"/>
        <item t="default"/>
      </items>
    </pivotField>
    <pivotField showAll="0">
      <items count="5">
        <item x="3"/>
        <item x="1"/>
        <item x="2"/>
        <item x="0"/>
        <item t="default"/>
      </items>
    </pivotField>
    <pivotField showAll="0"/>
    <pivotField numFmtId="164" showAll="0"/>
    <pivotField showAll="0"/>
    <pivotField showAll="0"/>
    <pivotField numFmtId="165" showAll="0"/>
    <pivotField showAll="0">
      <items count="4">
        <item x="0"/>
        <item x="1"/>
        <item x="2"/>
        <item t="default"/>
      </items>
    </pivotField>
  </pivotFields>
  <rowItems count="1">
    <i/>
  </rowItems>
  <colItems count="1">
    <i/>
  </colItems>
  <pageFields count="1">
    <pageField fld="1" hier="-1"/>
  </pageFields>
  <dataFields count="1">
    <dataField name="Count of Ca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4" format="7">
      <pivotArea type="data" outline="0" fieldPosition="0">
        <references count="1">
          <reference field="4294967294" count="1" selected="0">
            <x v="0"/>
          </reference>
        </references>
      </pivotArea>
    </chartFormat>
    <chartFormat chart="11"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6C3C569-DC82-47CB-BB3B-B6BE0E3EDCAC}" sourceName="Year">
  <pivotTables>
    <pivotTable tabId="24" name="PivotTable5"/>
    <pivotTable tabId="20" name="PivotTable1"/>
    <pivotTable tabId="22" name="PivotTable3"/>
    <pivotTable tabId="35" name="PivotTable1"/>
    <pivotTable tabId="27" name="PivotTable8"/>
    <pivotTable tabId="23" name="PivotTable4"/>
    <pivotTable tabId="28" name="PivotTable9"/>
    <pivotTable tabId="21" name="PivotTable2"/>
    <pivotTable tabId="19" name="PivotTable1"/>
    <pivotTable tabId="25" name="PivotTable6"/>
  </pivotTables>
  <data>
    <tabular pivotCacheId="1622927204">
      <items count="11">
        <i x="8" s="1"/>
        <i x="4" s="1"/>
        <i x="7" s="1"/>
        <i x="2" s="1"/>
        <i x="1" s="1"/>
        <i x="5" s="1"/>
        <i x="6" s="1"/>
        <i x="10" s="1"/>
        <i x="0" s="1"/>
        <i x="9"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59470BB-AC81-4FE5-8DD9-431D3B7E540B}" sourceName="Brand">
  <pivotTables>
    <pivotTable tabId="20" name="PivotTable1"/>
    <pivotTable tabId="22" name="PivotTable3"/>
    <pivotTable tabId="35" name="PivotTable1"/>
    <pivotTable tabId="27" name="PivotTable8"/>
    <pivotTable tabId="23" name="PivotTable4"/>
    <pivotTable tabId="28" name="PivotTable9"/>
    <pivotTable tabId="21" name="PivotTable2"/>
    <pivotTable tabId="19" name="PivotTable1"/>
    <pivotTable tabId="25" name="PivotTable6"/>
    <pivotTable tabId="24" name="PivotTable5"/>
  </pivotTables>
  <data>
    <tabular pivotCacheId="1622927204">
      <items count="8">
        <i x="5" s="1"/>
        <i x="3" s="1"/>
        <i x="7" s="1"/>
        <i x="4" s="1"/>
        <i x="2"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Type" xr10:uid="{CEE7F6D9-AAE4-4E37-809C-900CCC4CBC1B}" sourceName="Engine_Type">
  <pivotTables>
    <pivotTable tabId="27" name="PivotTable8"/>
    <pivotTable tabId="20" name="PivotTable1"/>
    <pivotTable tabId="22" name="PivotTable3"/>
    <pivotTable tabId="35" name="PivotTable1"/>
    <pivotTable tabId="23" name="PivotTable4"/>
    <pivotTable tabId="28" name="PivotTable9"/>
    <pivotTable tabId="21" name="PivotTable2"/>
    <pivotTable tabId="19" name="PivotTable1"/>
    <pivotTable tabId="25" name="PivotTable6"/>
    <pivotTable tabId="24" name="PivotTable5"/>
  </pivotTables>
  <data>
    <tabular pivotCacheId="1622927204">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C29FFEC-0730-4715-95B4-A1FC72ACE3DA}" sourceName="Status">
  <pivotTables>
    <pivotTable tabId="19" name="PivotTable1"/>
    <pivotTable tabId="20" name="PivotTable1"/>
    <pivotTable tabId="22" name="PivotTable3"/>
    <pivotTable tabId="35" name="PivotTable1"/>
    <pivotTable tabId="27" name="PivotTable8"/>
    <pivotTable tabId="23" name="PivotTable4"/>
    <pivotTable tabId="28" name="PivotTable9"/>
    <pivotTable tabId="21" name="PivotTable2"/>
    <pivotTable tabId="25" name="PivotTable6"/>
    <pivotTable tabId="24" name="PivotTable5"/>
  </pivotTables>
  <data>
    <tabular pivotCacheId="162292720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ur" xr10:uid="{5C8482DC-C674-49EA-8C80-783915A0051D}" sourceName="Colour">
  <pivotTables>
    <pivotTable tabId="35" name="PivotTable1"/>
  </pivotTables>
  <data>
    <tabular pivotCacheId="1622927204">
      <items count="6">
        <i x="5" s="1"/>
        <i x="1" s="1"/>
        <i x="3"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9440951-20B1-4200-96A5-169EB388BF56}" cache="Slicer_Year" caption="Year" rowHeight="247650"/>
  <slicer name="Brand" xr10:uid="{67F6C298-F08D-4D13-8CDE-D289B765D556}" cache="Slicer_Brand" caption="Brand" rowHeight="247650"/>
  <slicer name="Engine_Type" xr10:uid="{D79521DB-8EB5-42F7-85B9-2E9D497F7435}" cache="Slicer_Engine_Type" caption="Engine_Type" rowHeight="247650"/>
  <slicer name="Status" xr10:uid="{3BE5AD8E-EA02-45FB-BB21-4A78A2C28151}" cache="Slicer_Status" caption="Status" rowHeight="247650"/>
  <slicer name="Colour 1" xr10:uid="{D160765F-717F-49A3-BF8D-8679B31B917E}" cache="Slicer_Colour" caption="Colou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A55CA7-5A52-4C16-A3B1-5DB031058EF9}" name="Table1" displayName="Table1" ref="A1:L502" totalsRowShown="0" dataCellStyle="Accent1">
  <autoFilter ref="A1:L502" xr:uid="{19F44CBC-2871-495B-8955-FBCE459B5A0E}"/>
  <sortState xmlns:xlrd2="http://schemas.microsoft.com/office/spreadsheetml/2017/richdata2" ref="A2:L502">
    <sortCondition ref="A1:A502"/>
  </sortState>
  <tableColumns count="12">
    <tableColumn id="1" xr3:uid="{10661DB0-96FA-4F90-8EB1-4F67B92A22F3}" name="Car_ID" dataCellStyle="Accent1"/>
    <tableColumn id="2" xr3:uid="{B6AEFD73-4E0A-40BD-897C-DF0B29FBFF47}" name="Brand" dataCellStyle="Accent1"/>
    <tableColumn id="3" xr3:uid="{8FB41205-2D34-4607-9427-898F6373F142}" name="Model" dataCellStyle="Accent1"/>
    <tableColumn id="4" xr3:uid="{2D852D85-6814-4107-9F3B-4C97E4AFEB7F}" name="Year" dataCellStyle="Accent1"/>
    <tableColumn id="5" xr3:uid="{1A64BEC2-EB5B-47A2-9754-F1A23F964242}" name="Colour" dataCellStyle="Accent1"/>
    <tableColumn id="6" xr3:uid="{2DCDB7FE-5FF2-4B67-A5E1-FBAC5B9ECFC3}" name="Engine_Type" dataCellStyle="Accent1"/>
    <tableColumn id="7" xr3:uid="{17D8AEE7-DB15-44DD-A194-B85E59D91306}" name="Transmission" dataCellStyle="Accent1"/>
    <tableColumn id="8" xr3:uid="{43150A96-2F6C-4FF3-A365-2FA409C3207E}" name="Price" dataDxfId="2" dataCellStyle="Accent1"/>
    <tableColumn id="9" xr3:uid="{9651D33D-8D94-414C-818F-73575A83BA0E}" name="Price Range" dataDxfId="1" dataCellStyle="Accent1">
      <calculatedColumnFormula>IF(H2&lt;90000,"80k-90k",IF(H2&lt;100000,"90k-1L","1L+"))</calculatedColumnFormula>
    </tableColumn>
    <tableColumn id="10" xr3:uid="{8FCDD45C-3EE0-415A-9AB4-9BDAB1274B72}" name="Quantity_In_Stock" dataCellStyle="Accent1"/>
    <tableColumn id="11" xr3:uid="{2DE30415-1495-44FD-8B22-ECC2F809D0F8}" name="Brand_Revenue" dataDxfId="0" dataCellStyle="Accent1">
      <calculatedColumnFormula>PRODUCT(H2*J2)</calculatedColumnFormula>
    </tableColumn>
    <tableColumn id="12" xr3:uid="{941174B4-A0E5-44D7-8EE7-53E23D356B5D}" name="Status" dataCellStyle="Accent1"/>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4CBC-2871-495B-8955-FBCE459B5A0E}">
  <dimension ref="A1:L502"/>
  <sheetViews>
    <sheetView zoomScale="52" zoomScaleNormal="60" workbookViewId="0">
      <selection activeCell="C42" sqref="A2:L502"/>
    </sheetView>
  </sheetViews>
  <sheetFormatPr defaultColWidth="18" defaultRowHeight="14.4" x14ac:dyDescent="0.3"/>
  <cols>
    <col min="8" max="9" width="18" style="1"/>
    <col min="11" max="11" width="18" style="4"/>
  </cols>
  <sheetData>
    <row r="1" spans="1:12" x14ac:dyDescent="0.3">
      <c r="A1" s="6" t="s">
        <v>0</v>
      </c>
      <c r="B1" s="6" t="s">
        <v>1</v>
      </c>
      <c r="C1" s="6" t="s">
        <v>2</v>
      </c>
      <c r="D1" s="6" t="s">
        <v>3</v>
      </c>
      <c r="E1" s="6" t="s">
        <v>564</v>
      </c>
      <c r="F1" s="6" t="s">
        <v>4</v>
      </c>
      <c r="G1" s="6" t="s">
        <v>5</v>
      </c>
      <c r="H1" s="7" t="s">
        <v>6</v>
      </c>
      <c r="I1" s="7" t="s">
        <v>560</v>
      </c>
      <c r="J1" s="6" t="s">
        <v>7</v>
      </c>
      <c r="K1" s="8" t="s">
        <v>558</v>
      </c>
      <c r="L1" s="6" t="s">
        <v>8</v>
      </c>
    </row>
    <row r="2" spans="1:12" x14ac:dyDescent="0.3">
      <c r="A2" s="6" t="s">
        <v>9</v>
      </c>
      <c r="B2" s="6" t="s">
        <v>10</v>
      </c>
      <c r="C2" s="6" t="s">
        <v>11</v>
      </c>
      <c r="D2" s="6">
        <v>2023</v>
      </c>
      <c r="E2" s="6" t="s">
        <v>12</v>
      </c>
      <c r="F2" s="6" t="s">
        <v>13</v>
      </c>
      <c r="G2" s="6" t="s">
        <v>14</v>
      </c>
      <c r="H2" s="7">
        <v>80338.149999999994</v>
      </c>
      <c r="I2" s="7" t="str">
        <f t="shared" ref="I2:I65" si="0">IF(H2&lt;90000,"80k-90k",IF(H2&lt;100000,"90k-1L","1L+"))</f>
        <v>80k-90k</v>
      </c>
      <c r="J2" s="6">
        <v>6</v>
      </c>
      <c r="K2" s="8">
        <f t="shared" ref="K2:K65" si="1">PRODUCT(H2*J2)</f>
        <v>482028.89999999997</v>
      </c>
      <c r="L2" s="6" t="s">
        <v>15</v>
      </c>
    </row>
    <row r="3" spans="1:12" x14ac:dyDescent="0.3">
      <c r="A3" s="6" t="s">
        <v>16</v>
      </c>
      <c r="B3" s="6" t="s">
        <v>17</v>
      </c>
      <c r="C3" s="6" t="s">
        <v>18</v>
      </c>
      <c r="D3" s="6">
        <v>2019</v>
      </c>
      <c r="E3" s="6" t="s">
        <v>12</v>
      </c>
      <c r="F3" s="6" t="s">
        <v>19</v>
      </c>
      <c r="G3" s="6" t="s">
        <v>20</v>
      </c>
      <c r="H3" s="7">
        <v>26437.73</v>
      </c>
      <c r="I3" s="7" t="str">
        <f t="shared" si="0"/>
        <v>80k-90k</v>
      </c>
      <c r="J3" s="6">
        <v>16</v>
      </c>
      <c r="K3" s="8">
        <f t="shared" si="1"/>
        <v>423003.68</v>
      </c>
      <c r="L3" s="6" t="s">
        <v>15</v>
      </c>
    </row>
    <row r="4" spans="1:12" x14ac:dyDescent="0.3">
      <c r="A4" s="6" t="s">
        <v>21</v>
      </c>
      <c r="B4" s="6" t="s">
        <v>22</v>
      </c>
      <c r="C4" s="6" t="s">
        <v>23</v>
      </c>
      <c r="D4" s="6">
        <v>2018</v>
      </c>
      <c r="E4" s="6" t="s">
        <v>24</v>
      </c>
      <c r="F4" s="6" t="s">
        <v>19</v>
      </c>
      <c r="G4" s="6" t="s">
        <v>14</v>
      </c>
      <c r="H4" s="7">
        <v>50158.13</v>
      </c>
      <c r="I4" s="7" t="str">
        <f t="shared" si="0"/>
        <v>80k-90k</v>
      </c>
      <c r="J4" s="6">
        <v>20</v>
      </c>
      <c r="K4" s="8">
        <f t="shared" si="1"/>
        <v>1003162.6</v>
      </c>
      <c r="L4" s="6" t="s">
        <v>15</v>
      </c>
    </row>
    <row r="5" spans="1:12" x14ac:dyDescent="0.3">
      <c r="A5" s="6" t="s">
        <v>25</v>
      </c>
      <c r="B5" s="6" t="s">
        <v>26</v>
      </c>
      <c r="C5" s="6" t="s">
        <v>27</v>
      </c>
      <c r="D5" s="6">
        <v>2025</v>
      </c>
      <c r="E5" s="6" t="s">
        <v>12</v>
      </c>
      <c r="F5" s="6" t="s">
        <v>28</v>
      </c>
      <c r="G5" s="6" t="s">
        <v>14</v>
      </c>
      <c r="H5" s="7">
        <v>33026.14</v>
      </c>
      <c r="I5" s="7" t="str">
        <f t="shared" si="0"/>
        <v>80k-90k</v>
      </c>
      <c r="J5" s="6">
        <v>3</v>
      </c>
      <c r="K5" s="8">
        <f t="shared" si="1"/>
        <v>99078.42</v>
      </c>
      <c r="L5" s="6" t="s">
        <v>15</v>
      </c>
    </row>
    <row r="6" spans="1:12" x14ac:dyDescent="0.3">
      <c r="A6" s="6" t="s">
        <v>29</v>
      </c>
      <c r="B6" s="6" t="s">
        <v>10</v>
      </c>
      <c r="C6" s="6" t="s">
        <v>30</v>
      </c>
      <c r="D6" s="6">
        <v>2016</v>
      </c>
      <c r="E6" s="6" t="s">
        <v>31</v>
      </c>
      <c r="F6" s="6" t="s">
        <v>28</v>
      </c>
      <c r="G6" s="6" t="s">
        <v>20</v>
      </c>
      <c r="H6" s="7">
        <v>79672.899999999994</v>
      </c>
      <c r="I6" s="7" t="str">
        <f t="shared" si="0"/>
        <v>80k-90k</v>
      </c>
      <c r="J6" s="6">
        <v>9</v>
      </c>
      <c r="K6" s="8">
        <f t="shared" si="1"/>
        <v>717056.1</v>
      </c>
      <c r="L6" s="6" t="s">
        <v>32</v>
      </c>
    </row>
    <row r="7" spans="1:12" x14ac:dyDescent="0.3">
      <c r="A7" s="6" t="s">
        <v>33</v>
      </c>
      <c r="B7" s="6" t="s">
        <v>26</v>
      </c>
      <c r="C7" s="6" t="s">
        <v>34</v>
      </c>
      <c r="D7" s="6">
        <v>2019</v>
      </c>
      <c r="E7" s="6" t="s">
        <v>31</v>
      </c>
      <c r="F7" s="6" t="s">
        <v>35</v>
      </c>
      <c r="G7" s="6" t="s">
        <v>14</v>
      </c>
      <c r="H7" s="7">
        <v>94225.03</v>
      </c>
      <c r="I7" s="7" t="str">
        <f t="shared" si="0"/>
        <v>90k-1L</v>
      </c>
      <c r="J7" s="6">
        <v>17</v>
      </c>
      <c r="K7" s="8">
        <f t="shared" si="1"/>
        <v>1601825.51</v>
      </c>
      <c r="L7" s="6" t="s">
        <v>36</v>
      </c>
    </row>
    <row r="8" spans="1:12" x14ac:dyDescent="0.3">
      <c r="A8" s="6" t="s">
        <v>37</v>
      </c>
      <c r="B8" s="6" t="s">
        <v>38</v>
      </c>
      <c r="C8" s="6" t="s">
        <v>39</v>
      </c>
      <c r="D8" s="6">
        <v>2020</v>
      </c>
      <c r="E8" s="6" t="s">
        <v>40</v>
      </c>
      <c r="F8" s="6" t="s">
        <v>13</v>
      </c>
      <c r="G8" s="6" t="s">
        <v>20</v>
      </c>
      <c r="H8" s="7">
        <v>21344.38</v>
      </c>
      <c r="I8" s="7" t="str">
        <f t="shared" si="0"/>
        <v>80k-90k</v>
      </c>
      <c r="J8" s="6">
        <v>7</v>
      </c>
      <c r="K8" s="8">
        <f t="shared" si="1"/>
        <v>149410.66</v>
      </c>
      <c r="L8" s="6" t="s">
        <v>32</v>
      </c>
    </row>
    <row r="9" spans="1:12" x14ac:dyDescent="0.3">
      <c r="A9" s="6" t="s">
        <v>41</v>
      </c>
      <c r="B9" s="6" t="s">
        <v>17</v>
      </c>
      <c r="C9" s="6" t="s">
        <v>18</v>
      </c>
      <c r="D9" s="6">
        <v>2021</v>
      </c>
      <c r="E9" s="6" t="s">
        <v>40</v>
      </c>
      <c r="F9" s="6" t="s">
        <v>28</v>
      </c>
      <c r="G9" s="6" t="s">
        <v>20</v>
      </c>
      <c r="H9" s="7">
        <v>48813.94</v>
      </c>
      <c r="I9" s="7" t="str">
        <f t="shared" si="0"/>
        <v>80k-90k</v>
      </c>
      <c r="J9" s="6">
        <v>14</v>
      </c>
      <c r="K9" s="8">
        <f t="shared" si="1"/>
        <v>683395.16</v>
      </c>
      <c r="L9" s="6" t="s">
        <v>32</v>
      </c>
    </row>
    <row r="10" spans="1:12" x14ac:dyDescent="0.3">
      <c r="A10" s="6" t="s">
        <v>42</v>
      </c>
      <c r="B10" s="6" t="s">
        <v>43</v>
      </c>
      <c r="C10" s="6" t="s">
        <v>44</v>
      </c>
      <c r="D10" s="6">
        <v>2017</v>
      </c>
      <c r="E10" s="6" t="s">
        <v>24</v>
      </c>
      <c r="F10" s="6" t="s">
        <v>19</v>
      </c>
      <c r="G10" s="6" t="s">
        <v>20</v>
      </c>
      <c r="H10" s="7">
        <v>34430.1</v>
      </c>
      <c r="I10" s="7" t="str">
        <f t="shared" si="0"/>
        <v>80k-90k</v>
      </c>
      <c r="J10" s="6">
        <v>14</v>
      </c>
      <c r="K10" s="8">
        <f t="shared" si="1"/>
        <v>482021.39999999997</v>
      </c>
      <c r="L10" s="6" t="s">
        <v>36</v>
      </c>
    </row>
    <row r="11" spans="1:12" x14ac:dyDescent="0.3">
      <c r="A11" s="6" t="s">
        <v>45</v>
      </c>
      <c r="B11" s="6" t="s">
        <v>17</v>
      </c>
      <c r="C11" s="6" t="s">
        <v>46</v>
      </c>
      <c r="D11" s="6">
        <v>2015</v>
      </c>
      <c r="E11" s="6" t="s">
        <v>12</v>
      </c>
      <c r="F11" s="6" t="s">
        <v>28</v>
      </c>
      <c r="G11" s="6" t="s">
        <v>20</v>
      </c>
      <c r="H11" s="7">
        <v>42136.55</v>
      </c>
      <c r="I11" s="7" t="str">
        <f t="shared" si="0"/>
        <v>80k-90k</v>
      </c>
      <c r="J11" s="6">
        <v>0</v>
      </c>
      <c r="K11" s="8">
        <f t="shared" si="1"/>
        <v>0</v>
      </c>
      <c r="L11" s="6" t="s">
        <v>36</v>
      </c>
    </row>
    <row r="12" spans="1:12" x14ac:dyDescent="0.3">
      <c r="A12" s="6" t="s">
        <v>47</v>
      </c>
      <c r="B12" s="6" t="s">
        <v>17</v>
      </c>
      <c r="C12" s="6" t="s">
        <v>18</v>
      </c>
      <c r="D12" s="6">
        <v>2017</v>
      </c>
      <c r="E12" s="6" t="s">
        <v>48</v>
      </c>
      <c r="F12" s="6" t="s">
        <v>19</v>
      </c>
      <c r="G12" s="6" t="s">
        <v>14</v>
      </c>
      <c r="H12" s="7">
        <v>17337.05</v>
      </c>
      <c r="I12" s="7" t="str">
        <f t="shared" si="0"/>
        <v>80k-90k</v>
      </c>
      <c r="J12" s="6">
        <v>3</v>
      </c>
      <c r="K12" s="8">
        <f t="shared" si="1"/>
        <v>52011.149999999994</v>
      </c>
      <c r="L12" s="6" t="s">
        <v>15</v>
      </c>
    </row>
    <row r="13" spans="1:12" x14ac:dyDescent="0.3">
      <c r="A13" s="6" t="s">
        <v>49</v>
      </c>
      <c r="B13" s="6" t="s">
        <v>17</v>
      </c>
      <c r="C13" s="6" t="s">
        <v>46</v>
      </c>
      <c r="D13" s="6">
        <v>2016</v>
      </c>
      <c r="E13" s="6" t="s">
        <v>40</v>
      </c>
      <c r="F13" s="6" t="s">
        <v>19</v>
      </c>
      <c r="G13" s="6" t="s">
        <v>20</v>
      </c>
      <c r="H13" s="7">
        <v>78178.58</v>
      </c>
      <c r="I13" s="7" t="str">
        <f t="shared" si="0"/>
        <v>80k-90k</v>
      </c>
      <c r="J13" s="6">
        <v>13</v>
      </c>
      <c r="K13" s="8">
        <f t="shared" si="1"/>
        <v>1016321.54</v>
      </c>
      <c r="L13" s="6" t="s">
        <v>32</v>
      </c>
    </row>
    <row r="14" spans="1:12" x14ac:dyDescent="0.3">
      <c r="A14" s="6" t="s">
        <v>50</v>
      </c>
      <c r="B14" s="6" t="s">
        <v>26</v>
      </c>
      <c r="C14" s="6" t="s">
        <v>27</v>
      </c>
      <c r="D14" s="6">
        <v>2018</v>
      </c>
      <c r="E14" s="6" t="s">
        <v>24</v>
      </c>
      <c r="F14" s="6" t="s">
        <v>35</v>
      </c>
      <c r="G14" s="6" t="s">
        <v>20</v>
      </c>
      <c r="H14" s="7">
        <v>92616.24</v>
      </c>
      <c r="I14" s="7" t="str">
        <f t="shared" si="0"/>
        <v>90k-1L</v>
      </c>
      <c r="J14" s="6">
        <v>2</v>
      </c>
      <c r="K14" s="8">
        <f t="shared" si="1"/>
        <v>185232.48</v>
      </c>
      <c r="L14" s="6" t="s">
        <v>36</v>
      </c>
    </row>
    <row r="15" spans="1:12" x14ac:dyDescent="0.3">
      <c r="A15" s="6" t="s">
        <v>51</v>
      </c>
      <c r="B15" s="6" t="s">
        <v>10</v>
      </c>
      <c r="C15" s="6" t="s">
        <v>30</v>
      </c>
      <c r="D15" s="6">
        <v>2024</v>
      </c>
      <c r="E15" s="6" t="s">
        <v>48</v>
      </c>
      <c r="F15" s="6" t="s">
        <v>28</v>
      </c>
      <c r="G15" s="6" t="s">
        <v>14</v>
      </c>
      <c r="H15" s="7">
        <v>97512.33</v>
      </c>
      <c r="I15" s="7" t="str">
        <f t="shared" si="0"/>
        <v>90k-1L</v>
      </c>
      <c r="J15" s="6">
        <v>18</v>
      </c>
      <c r="K15" s="8">
        <f t="shared" si="1"/>
        <v>1755221.94</v>
      </c>
      <c r="L15" s="6" t="s">
        <v>32</v>
      </c>
    </row>
    <row r="16" spans="1:12" x14ac:dyDescent="0.3">
      <c r="A16" s="6" t="s">
        <v>52</v>
      </c>
      <c r="B16" s="6" t="s">
        <v>552</v>
      </c>
      <c r="C16" s="6" t="s">
        <v>53</v>
      </c>
      <c r="D16" s="6">
        <v>2019</v>
      </c>
      <c r="E16" s="6" t="s">
        <v>24</v>
      </c>
      <c r="F16" s="6" t="s">
        <v>35</v>
      </c>
      <c r="G16" s="6" t="s">
        <v>20</v>
      </c>
      <c r="H16" s="7">
        <v>89267.74</v>
      </c>
      <c r="I16" s="7" t="str">
        <f t="shared" si="0"/>
        <v>80k-90k</v>
      </c>
      <c r="J16" s="6">
        <v>17</v>
      </c>
      <c r="K16" s="8">
        <f t="shared" si="1"/>
        <v>1517551.58</v>
      </c>
      <c r="L16" s="6" t="s">
        <v>32</v>
      </c>
    </row>
    <row r="17" spans="1:12" x14ac:dyDescent="0.3">
      <c r="A17" s="6" t="s">
        <v>54</v>
      </c>
      <c r="B17" s="6" t="s">
        <v>43</v>
      </c>
      <c r="C17" s="6" t="s">
        <v>44</v>
      </c>
      <c r="D17" s="6">
        <v>2024</v>
      </c>
      <c r="E17" s="6" t="s">
        <v>55</v>
      </c>
      <c r="F17" s="6" t="s">
        <v>13</v>
      </c>
      <c r="G17" s="6" t="s">
        <v>20</v>
      </c>
      <c r="H17" s="7">
        <v>36006.199999999997</v>
      </c>
      <c r="I17" s="7" t="str">
        <f t="shared" si="0"/>
        <v>80k-90k</v>
      </c>
      <c r="J17" s="6">
        <v>10</v>
      </c>
      <c r="K17" s="8">
        <f t="shared" si="1"/>
        <v>360062</v>
      </c>
      <c r="L17" s="6" t="s">
        <v>32</v>
      </c>
    </row>
    <row r="18" spans="1:12" x14ac:dyDescent="0.3">
      <c r="A18" s="6" t="s">
        <v>56</v>
      </c>
      <c r="B18" s="6" t="s">
        <v>22</v>
      </c>
      <c r="C18" s="6" t="s">
        <v>23</v>
      </c>
      <c r="D18" s="6">
        <v>2018</v>
      </c>
      <c r="E18" s="6" t="s">
        <v>48</v>
      </c>
      <c r="F18" s="6" t="s">
        <v>13</v>
      </c>
      <c r="G18" s="6" t="s">
        <v>14</v>
      </c>
      <c r="H18" s="7">
        <v>30585.94</v>
      </c>
      <c r="I18" s="7" t="str">
        <f t="shared" si="0"/>
        <v>80k-90k</v>
      </c>
      <c r="J18" s="6">
        <v>2</v>
      </c>
      <c r="K18" s="8">
        <f t="shared" si="1"/>
        <v>61171.88</v>
      </c>
      <c r="L18" s="6" t="s">
        <v>32</v>
      </c>
    </row>
    <row r="19" spans="1:12" x14ac:dyDescent="0.3">
      <c r="A19" s="6" t="s">
        <v>57</v>
      </c>
      <c r="B19" s="6" t="s">
        <v>22</v>
      </c>
      <c r="C19" s="6" t="s">
        <v>23</v>
      </c>
      <c r="D19" s="6">
        <v>2016</v>
      </c>
      <c r="E19" s="6" t="s">
        <v>55</v>
      </c>
      <c r="F19" s="6" t="s">
        <v>13</v>
      </c>
      <c r="G19" s="6" t="s">
        <v>20</v>
      </c>
      <c r="H19" s="7">
        <v>71104.740000000005</v>
      </c>
      <c r="I19" s="7" t="str">
        <f t="shared" si="0"/>
        <v>80k-90k</v>
      </c>
      <c r="J19" s="6">
        <v>15</v>
      </c>
      <c r="K19" s="8">
        <f t="shared" si="1"/>
        <v>1066571.1000000001</v>
      </c>
      <c r="L19" s="6" t="s">
        <v>32</v>
      </c>
    </row>
    <row r="20" spans="1:12" x14ac:dyDescent="0.3">
      <c r="A20" s="6" t="s">
        <v>58</v>
      </c>
      <c r="B20" s="6" t="s">
        <v>17</v>
      </c>
      <c r="C20" s="6" t="s">
        <v>46</v>
      </c>
      <c r="D20" s="6">
        <v>2019</v>
      </c>
      <c r="E20" s="6" t="s">
        <v>31</v>
      </c>
      <c r="F20" s="6" t="s">
        <v>35</v>
      </c>
      <c r="G20" s="6" t="s">
        <v>20</v>
      </c>
      <c r="H20" s="7">
        <v>24426.04</v>
      </c>
      <c r="I20" s="7" t="str">
        <f t="shared" si="0"/>
        <v>80k-90k</v>
      </c>
      <c r="J20" s="6">
        <v>2</v>
      </c>
      <c r="K20" s="8">
        <f t="shared" si="1"/>
        <v>48852.08</v>
      </c>
      <c r="L20" s="6" t="s">
        <v>36</v>
      </c>
    </row>
    <row r="21" spans="1:12" x14ac:dyDescent="0.3">
      <c r="A21" s="6" t="s">
        <v>59</v>
      </c>
      <c r="B21" s="6" t="s">
        <v>10</v>
      </c>
      <c r="C21" s="6" t="s">
        <v>11</v>
      </c>
      <c r="D21" s="6">
        <v>2022</v>
      </c>
      <c r="E21" s="6" t="s">
        <v>24</v>
      </c>
      <c r="F21" s="6" t="s">
        <v>19</v>
      </c>
      <c r="G21" s="6" t="s">
        <v>20</v>
      </c>
      <c r="H21" s="7">
        <v>68270.75</v>
      </c>
      <c r="I21" s="7" t="str">
        <f t="shared" si="0"/>
        <v>80k-90k</v>
      </c>
      <c r="J21" s="6">
        <v>2</v>
      </c>
      <c r="K21" s="8">
        <f t="shared" si="1"/>
        <v>136541.5</v>
      </c>
      <c r="L21" s="6" t="s">
        <v>36</v>
      </c>
    </row>
    <row r="22" spans="1:12" x14ac:dyDescent="0.3">
      <c r="A22" s="6" t="s">
        <v>60</v>
      </c>
      <c r="B22" s="6" t="s">
        <v>43</v>
      </c>
      <c r="C22" s="6" t="s">
        <v>44</v>
      </c>
      <c r="D22" s="6">
        <v>2020</v>
      </c>
      <c r="E22" s="6" t="s">
        <v>12</v>
      </c>
      <c r="F22" s="6" t="s">
        <v>35</v>
      </c>
      <c r="G22" s="6" t="s">
        <v>14</v>
      </c>
      <c r="H22" s="7">
        <v>60882.36</v>
      </c>
      <c r="I22" s="7" t="str">
        <f t="shared" si="0"/>
        <v>80k-90k</v>
      </c>
      <c r="J22" s="6">
        <v>19</v>
      </c>
      <c r="K22" s="8">
        <f t="shared" si="1"/>
        <v>1156764.8400000001</v>
      </c>
      <c r="L22" s="6" t="s">
        <v>15</v>
      </c>
    </row>
    <row r="23" spans="1:12" x14ac:dyDescent="0.3">
      <c r="A23" s="6" t="s">
        <v>61</v>
      </c>
      <c r="B23" s="6" t="s">
        <v>17</v>
      </c>
      <c r="C23" s="6" t="s">
        <v>62</v>
      </c>
      <c r="D23" s="6">
        <v>2018</v>
      </c>
      <c r="E23" s="6" t="s">
        <v>12</v>
      </c>
      <c r="F23" s="6" t="s">
        <v>35</v>
      </c>
      <c r="G23" s="6" t="s">
        <v>14</v>
      </c>
      <c r="H23" s="7">
        <v>40366.14</v>
      </c>
      <c r="I23" s="7" t="str">
        <f t="shared" si="0"/>
        <v>80k-90k</v>
      </c>
      <c r="J23" s="6">
        <v>18</v>
      </c>
      <c r="K23" s="8">
        <f t="shared" si="1"/>
        <v>726590.52</v>
      </c>
      <c r="L23" s="6" t="s">
        <v>36</v>
      </c>
    </row>
    <row r="24" spans="1:12" x14ac:dyDescent="0.3">
      <c r="A24" s="6" t="s">
        <v>63</v>
      </c>
      <c r="B24" s="6" t="s">
        <v>17</v>
      </c>
      <c r="C24" s="6" t="s">
        <v>18</v>
      </c>
      <c r="D24" s="6">
        <v>2024</v>
      </c>
      <c r="E24" s="6" t="s">
        <v>48</v>
      </c>
      <c r="F24" s="6" t="s">
        <v>35</v>
      </c>
      <c r="G24" s="6" t="s">
        <v>14</v>
      </c>
      <c r="H24" s="7">
        <v>51077.41</v>
      </c>
      <c r="I24" s="7" t="str">
        <f t="shared" si="0"/>
        <v>80k-90k</v>
      </c>
      <c r="J24" s="6">
        <v>20</v>
      </c>
      <c r="K24" s="8">
        <f t="shared" si="1"/>
        <v>1021548.2000000001</v>
      </c>
      <c r="L24" s="6" t="s">
        <v>32</v>
      </c>
    </row>
    <row r="25" spans="1:12" x14ac:dyDescent="0.3">
      <c r="A25" s="6" t="s">
        <v>64</v>
      </c>
      <c r="B25" s="6" t="s">
        <v>38</v>
      </c>
      <c r="C25" s="6" t="s">
        <v>65</v>
      </c>
      <c r="D25" s="6">
        <v>2019</v>
      </c>
      <c r="E25" s="6" t="s">
        <v>24</v>
      </c>
      <c r="F25" s="6" t="s">
        <v>13</v>
      </c>
      <c r="G25" s="6" t="s">
        <v>20</v>
      </c>
      <c r="H25" s="7">
        <v>33546.720000000001</v>
      </c>
      <c r="I25" s="7" t="str">
        <f t="shared" si="0"/>
        <v>80k-90k</v>
      </c>
      <c r="J25" s="6">
        <v>8</v>
      </c>
      <c r="K25" s="8">
        <f t="shared" si="1"/>
        <v>268373.76000000001</v>
      </c>
      <c r="L25" s="6" t="s">
        <v>36</v>
      </c>
    </row>
    <row r="26" spans="1:12" x14ac:dyDescent="0.3">
      <c r="A26" s="6" t="s">
        <v>66</v>
      </c>
      <c r="B26" s="6" t="s">
        <v>22</v>
      </c>
      <c r="C26" s="6" t="s">
        <v>53</v>
      </c>
      <c r="D26" s="6">
        <v>2016</v>
      </c>
      <c r="E26" s="6" t="s">
        <v>48</v>
      </c>
      <c r="F26" s="6" t="s">
        <v>13</v>
      </c>
      <c r="G26" s="6" t="s">
        <v>20</v>
      </c>
      <c r="H26" s="7">
        <v>48204.7</v>
      </c>
      <c r="I26" s="7" t="str">
        <f t="shared" si="0"/>
        <v>80k-90k</v>
      </c>
      <c r="J26" s="6">
        <v>2</v>
      </c>
      <c r="K26" s="8">
        <f t="shared" si="1"/>
        <v>96409.4</v>
      </c>
      <c r="L26" s="6" t="s">
        <v>15</v>
      </c>
    </row>
    <row r="27" spans="1:12" x14ac:dyDescent="0.3">
      <c r="A27" s="6" t="s">
        <v>67</v>
      </c>
      <c r="B27" s="6" t="s">
        <v>43</v>
      </c>
      <c r="C27" s="6" t="s">
        <v>44</v>
      </c>
      <c r="D27" s="6">
        <v>2023</v>
      </c>
      <c r="E27" s="6" t="s">
        <v>55</v>
      </c>
      <c r="F27" s="6" t="s">
        <v>19</v>
      </c>
      <c r="G27" s="6" t="s">
        <v>14</v>
      </c>
      <c r="H27" s="7">
        <v>94847.47</v>
      </c>
      <c r="I27" s="7" t="str">
        <f t="shared" si="0"/>
        <v>90k-1L</v>
      </c>
      <c r="J27" s="6">
        <v>5</v>
      </c>
      <c r="K27" s="8">
        <f t="shared" si="1"/>
        <v>474237.35</v>
      </c>
      <c r="L27" s="6" t="s">
        <v>36</v>
      </c>
    </row>
    <row r="28" spans="1:12" x14ac:dyDescent="0.3">
      <c r="A28" s="6" t="s">
        <v>68</v>
      </c>
      <c r="B28" s="6" t="s">
        <v>38</v>
      </c>
      <c r="C28" s="6" t="s">
        <v>65</v>
      </c>
      <c r="D28" s="6">
        <v>2020</v>
      </c>
      <c r="E28" s="6" t="s">
        <v>40</v>
      </c>
      <c r="F28" s="6" t="s">
        <v>28</v>
      </c>
      <c r="G28" s="6" t="s">
        <v>20</v>
      </c>
      <c r="H28" s="7">
        <v>30021.18</v>
      </c>
      <c r="I28" s="7" t="str">
        <f t="shared" si="0"/>
        <v>80k-90k</v>
      </c>
      <c r="J28" s="6">
        <v>8</v>
      </c>
      <c r="K28" s="8">
        <f t="shared" si="1"/>
        <v>240169.44</v>
      </c>
      <c r="L28" s="6" t="s">
        <v>15</v>
      </c>
    </row>
    <row r="29" spans="1:12" x14ac:dyDescent="0.3">
      <c r="A29" s="6" t="s">
        <v>69</v>
      </c>
      <c r="B29" s="6" t="s">
        <v>70</v>
      </c>
      <c r="C29" s="6" t="s">
        <v>71</v>
      </c>
      <c r="D29" s="6">
        <v>2016</v>
      </c>
      <c r="E29" s="6" t="s">
        <v>24</v>
      </c>
      <c r="F29" s="6" t="s">
        <v>28</v>
      </c>
      <c r="G29" s="6" t="s">
        <v>20</v>
      </c>
      <c r="H29" s="7">
        <v>64476.81</v>
      </c>
      <c r="I29" s="7" t="str">
        <f t="shared" si="0"/>
        <v>80k-90k</v>
      </c>
      <c r="J29" s="6">
        <v>10</v>
      </c>
      <c r="K29" s="8">
        <f t="shared" si="1"/>
        <v>644768.1</v>
      </c>
      <c r="L29" s="6" t="s">
        <v>36</v>
      </c>
    </row>
    <row r="30" spans="1:12" x14ac:dyDescent="0.3">
      <c r="A30" s="6" t="s">
        <v>72</v>
      </c>
      <c r="B30" s="6" t="s">
        <v>17</v>
      </c>
      <c r="C30" s="6" t="s">
        <v>18</v>
      </c>
      <c r="D30" s="6">
        <v>2024</v>
      </c>
      <c r="E30" s="6" t="s">
        <v>48</v>
      </c>
      <c r="F30" s="6" t="s">
        <v>28</v>
      </c>
      <c r="G30" s="6" t="s">
        <v>20</v>
      </c>
      <c r="H30" s="7">
        <v>87083.91</v>
      </c>
      <c r="I30" s="7" t="str">
        <f t="shared" si="0"/>
        <v>80k-90k</v>
      </c>
      <c r="J30" s="6">
        <v>11</v>
      </c>
      <c r="K30" s="8">
        <f t="shared" si="1"/>
        <v>957923.01</v>
      </c>
      <c r="L30" s="6" t="s">
        <v>36</v>
      </c>
    </row>
    <row r="31" spans="1:12" x14ac:dyDescent="0.3">
      <c r="A31" s="6" t="s">
        <v>73</v>
      </c>
      <c r="B31" s="6" t="s">
        <v>26</v>
      </c>
      <c r="C31" s="6" t="s">
        <v>74</v>
      </c>
      <c r="D31" s="6">
        <v>2022</v>
      </c>
      <c r="E31" s="6" t="s">
        <v>40</v>
      </c>
      <c r="F31" s="6" t="s">
        <v>35</v>
      </c>
      <c r="G31" s="6" t="s">
        <v>20</v>
      </c>
      <c r="H31" s="7">
        <v>30892.91</v>
      </c>
      <c r="I31" s="7" t="str">
        <f t="shared" si="0"/>
        <v>80k-90k</v>
      </c>
      <c r="J31" s="6">
        <v>0</v>
      </c>
      <c r="K31" s="8">
        <f t="shared" si="1"/>
        <v>0</v>
      </c>
      <c r="L31" s="6" t="s">
        <v>15</v>
      </c>
    </row>
    <row r="32" spans="1:12" x14ac:dyDescent="0.3">
      <c r="A32" s="6" t="s">
        <v>75</v>
      </c>
      <c r="B32" s="6" t="s">
        <v>38</v>
      </c>
      <c r="C32" s="6" t="s">
        <v>65</v>
      </c>
      <c r="D32" s="6">
        <v>2016</v>
      </c>
      <c r="E32" s="6" t="s">
        <v>48</v>
      </c>
      <c r="F32" s="6" t="s">
        <v>13</v>
      </c>
      <c r="G32" s="6" t="s">
        <v>14</v>
      </c>
      <c r="H32" s="7">
        <v>66365.919999999998</v>
      </c>
      <c r="I32" s="7" t="str">
        <f t="shared" si="0"/>
        <v>80k-90k</v>
      </c>
      <c r="J32" s="6">
        <v>5</v>
      </c>
      <c r="K32" s="8">
        <f t="shared" si="1"/>
        <v>331829.59999999998</v>
      </c>
      <c r="L32" s="6" t="s">
        <v>32</v>
      </c>
    </row>
    <row r="33" spans="1:12" x14ac:dyDescent="0.3">
      <c r="A33" s="6" t="s">
        <v>76</v>
      </c>
      <c r="B33" s="6" t="s">
        <v>17</v>
      </c>
      <c r="C33" s="6" t="s">
        <v>62</v>
      </c>
      <c r="D33" s="6">
        <v>2018</v>
      </c>
      <c r="E33" s="6" t="s">
        <v>24</v>
      </c>
      <c r="F33" s="6" t="s">
        <v>13</v>
      </c>
      <c r="G33" s="6" t="s">
        <v>14</v>
      </c>
      <c r="H33" s="7">
        <v>65576.929999999993</v>
      </c>
      <c r="I33" s="7" t="str">
        <f t="shared" si="0"/>
        <v>80k-90k</v>
      </c>
      <c r="J33" s="6">
        <v>10</v>
      </c>
      <c r="K33" s="8">
        <f t="shared" si="1"/>
        <v>655769.29999999993</v>
      </c>
      <c r="L33" s="6" t="s">
        <v>32</v>
      </c>
    </row>
    <row r="34" spans="1:12" x14ac:dyDescent="0.3">
      <c r="A34" s="6" t="s">
        <v>77</v>
      </c>
      <c r="B34" s="6" t="s">
        <v>552</v>
      </c>
      <c r="C34" s="6" t="s">
        <v>18</v>
      </c>
      <c r="D34" s="6">
        <v>2020</v>
      </c>
      <c r="E34" s="6" t="s">
        <v>31</v>
      </c>
      <c r="F34" s="6" t="s">
        <v>13</v>
      </c>
      <c r="G34" s="6" t="s">
        <v>20</v>
      </c>
      <c r="H34" s="7">
        <v>21841.21</v>
      </c>
      <c r="I34" s="7" t="str">
        <f t="shared" si="0"/>
        <v>80k-90k</v>
      </c>
      <c r="J34" s="6">
        <v>10</v>
      </c>
      <c r="K34" s="8">
        <f t="shared" si="1"/>
        <v>218412.09999999998</v>
      </c>
      <c r="L34" s="6" t="s">
        <v>36</v>
      </c>
    </row>
    <row r="35" spans="1:12" x14ac:dyDescent="0.3">
      <c r="A35" s="6" t="s">
        <v>78</v>
      </c>
      <c r="B35" s="6" t="s">
        <v>10</v>
      </c>
      <c r="C35" s="6" t="s">
        <v>11</v>
      </c>
      <c r="D35" s="6">
        <v>2023</v>
      </c>
      <c r="E35" s="6" t="s">
        <v>24</v>
      </c>
      <c r="F35" s="6" t="s">
        <v>13</v>
      </c>
      <c r="G35" s="6" t="s">
        <v>14</v>
      </c>
      <c r="H35" s="7">
        <v>89206.33</v>
      </c>
      <c r="I35" s="7" t="str">
        <f t="shared" si="0"/>
        <v>80k-90k</v>
      </c>
      <c r="J35" s="6">
        <v>18</v>
      </c>
      <c r="K35" s="8">
        <f t="shared" si="1"/>
        <v>1605713.94</v>
      </c>
      <c r="L35" s="6" t="s">
        <v>15</v>
      </c>
    </row>
    <row r="36" spans="1:12" x14ac:dyDescent="0.3">
      <c r="A36" s="6" t="s">
        <v>79</v>
      </c>
      <c r="B36" s="6" t="s">
        <v>70</v>
      </c>
      <c r="C36" s="6" t="s">
        <v>80</v>
      </c>
      <c r="D36" s="6">
        <v>2023</v>
      </c>
      <c r="E36" s="6" t="s">
        <v>24</v>
      </c>
      <c r="F36" s="6" t="s">
        <v>28</v>
      </c>
      <c r="G36" s="6" t="s">
        <v>20</v>
      </c>
      <c r="H36" s="7">
        <v>65266.64</v>
      </c>
      <c r="I36" s="7" t="str">
        <f t="shared" si="0"/>
        <v>80k-90k</v>
      </c>
      <c r="J36" s="6">
        <v>5</v>
      </c>
      <c r="K36" s="8">
        <f t="shared" si="1"/>
        <v>326333.2</v>
      </c>
      <c r="L36" s="6" t="s">
        <v>36</v>
      </c>
    </row>
    <row r="37" spans="1:12" x14ac:dyDescent="0.3">
      <c r="A37" s="6" t="s">
        <v>81</v>
      </c>
      <c r="B37" s="6" t="s">
        <v>10</v>
      </c>
      <c r="C37" s="6" t="s">
        <v>11</v>
      </c>
      <c r="D37" s="6">
        <v>2017</v>
      </c>
      <c r="E37" s="6" t="s">
        <v>12</v>
      </c>
      <c r="F37" s="6" t="s">
        <v>19</v>
      </c>
      <c r="G37" s="6" t="s">
        <v>14</v>
      </c>
      <c r="H37" s="7">
        <v>22685.3</v>
      </c>
      <c r="I37" s="7" t="str">
        <f t="shared" si="0"/>
        <v>80k-90k</v>
      </c>
      <c r="J37" s="6">
        <v>13</v>
      </c>
      <c r="K37" s="8">
        <f t="shared" si="1"/>
        <v>294908.89999999997</v>
      </c>
      <c r="L37" s="6" t="s">
        <v>15</v>
      </c>
    </row>
    <row r="38" spans="1:12" x14ac:dyDescent="0.3">
      <c r="A38" s="6" t="s">
        <v>82</v>
      </c>
      <c r="B38" s="6" t="s">
        <v>70</v>
      </c>
      <c r="C38" s="6" t="s">
        <v>71</v>
      </c>
      <c r="D38" s="6">
        <v>2024</v>
      </c>
      <c r="E38" s="6" t="s">
        <v>12</v>
      </c>
      <c r="F38" s="6" t="s">
        <v>35</v>
      </c>
      <c r="G38" s="6" t="s">
        <v>20</v>
      </c>
      <c r="H38" s="7">
        <v>18249.009999999998</v>
      </c>
      <c r="I38" s="7" t="str">
        <f t="shared" si="0"/>
        <v>80k-90k</v>
      </c>
      <c r="J38" s="6">
        <v>15</v>
      </c>
      <c r="K38" s="8">
        <f t="shared" si="1"/>
        <v>273735.14999999997</v>
      </c>
      <c r="L38" s="6" t="s">
        <v>36</v>
      </c>
    </row>
    <row r="39" spans="1:12" x14ac:dyDescent="0.3">
      <c r="A39" s="6" t="s">
        <v>83</v>
      </c>
      <c r="B39" s="6" t="s">
        <v>22</v>
      </c>
      <c r="C39" s="6" t="s">
        <v>53</v>
      </c>
      <c r="D39" s="6">
        <v>2017</v>
      </c>
      <c r="E39" s="6" t="s">
        <v>31</v>
      </c>
      <c r="F39" s="6" t="s">
        <v>19</v>
      </c>
      <c r="G39" s="6" t="s">
        <v>14</v>
      </c>
      <c r="H39" s="7">
        <v>17943.21</v>
      </c>
      <c r="I39" s="7" t="str">
        <f t="shared" si="0"/>
        <v>80k-90k</v>
      </c>
      <c r="J39" s="6">
        <v>17</v>
      </c>
      <c r="K39" s="8">
        <f t="shared" si="1"/>
        <v>305034.57</v>
      </c>
      <c r="L39" s="6" t="s">
        <v>15</v>
      </c>
    </row>
    <row r="40" spans="1:12" x14ac:dyDescent="0.3">
      <c r="A40" s="6" t="s">
        <v>84</v>
      </c>
      <c r="B40" s="6" t="s">
        <v>70</v>
      </c>
      <c r="C40" s="6" t="s">
        <v>80</v>
      </c>
      <c r="D40" s="6">
        <v>2022</v>
      </c>
      <c r="E40" s="6" t="s">
        <v>40</v>
      </c>
      <c r="F40" s="6" t="s">
        <v>28</v>
      </c>
      <c r="G40" s="6" t="s">
        <v>14</v>
      </c>
      <c r="H40" s="7">
        <v>79781.25</v>
      </c>
      <c r="I40" s="7" t="str">
        <f t="shared" si="0"/>
        <v>80k-90k</v>
      </c>
      <c r="J40" s="6">
        <v>19</v>
      </c>
      <c r="K40" s="8">
        <f t="shared" si="1"/>
        <v>1515843.75</v>
      </c>
      <c r="L40" s="6" t="s">
        <v>15</v>
      </c>
    </row>
    <row r="41" spans="1:12" x14ac:dyDescent="0.3">
      <c r="A41" s="6" t="s">
        <v>85</v>
      </c>
      <c r="B41" s="6" t="s">
        <v>17</v>
      </c>
      <c r="C41" s="6" t="s">
        <v>62</v>
      </c>
      <c r="D41" s="6">
        <v>2016</v>
      </c>
      <c r="E41" s="6" t="s">
        <v>31</v>
      </c>
      <c r="F41" s="6" t="s">
        <v>35</v>
      </c>
      <c r="G41" s="6" t="s">
        <v>20</v>
      </c>
      <c r="H41" s="7">
        <v>18775.419999999998</v>
      </c>
      <c r="I41" s="7" t="str">
        <f t="shared" si="0"/>
        <v>80k-90k</v>
      </c>
      <c r="J41" s="6">
        <v>15</v>
      </c>
      <c r="K41" s="8">
        <f t="shared" si="1"/>
        <v>281631.3</v>
      </c>
      <c r="L41" s="6" t="s">
        <v>36</v>
      </c>
    </row>
    <row r="42" spans="1:12" x14ac:dyDescent="0.3">
      <c r="A42" s="6" t="s">
        <v>86</v>
      </c>
      <c r="B42" s="6" t="s">
        <v>22</v>
      </c>
      <c r="C42" s="6" t="s">
        <v>23</v>
      </c>
      <c r="D42" s="6">
        <v>2015</v>
      </c>
      <c r="E42" s="6" t="s">
        <v>24</v>
      </c>
      <c r="F42" s="6" t="s">
        <v>28</v>
      </c>
      <c r="G42" s="6" t="s">
        <v>20</v>
      </c>
      <c r="H42" s="7">
        <v>48152.43</v>
      </c>
      <c r="I42" s="7" t="str">
        <f t="shared" si="0"/>
        <v>80k-90k</v>
      </c>
      <c r="J42" s="6">
        <v>15</v>
      </c>
      <c r="K42" s="8">
        <f t="shared" si="1"/>
        <v>722286.45</v>
      </c>
      <c r="L42" s="6" t="s">
        <v>36</v>
      </c>
    </row>
    <row r="43" spans="1:12" x14ac:dyDescent="0.3">
      <c r="A43" s="6" t="s">
        <v>87</v>
      </c>
      <c r="B43" s="6" t="s">
        <v>38</v>
      </c>
      <c r="C43" s="6" t="s">
        <v>65</v>
      </c>
      <c r="D43" s="6">
        <v>2018</v>
      </c>
      <c r="E43" s="6" t="s">
        <v>40</v>
      </c>
      <c r="F43" s="6" t="s">
        <v>28</v>
      </c>
      <c r="G43" s="6" t="s">
        <v>14</v>
      </c>
      <c r="H43" s="7">
        <v>52740.959999999999</v>
      </c>
      <c r="I43" s="7" t="str">
        <f t="shared" si="0"/>
        <v>80k-90k</v>
      </c>
      <c r="J43" s="6">
        <v>19</v>
      </c>
      <c r="K43" s="8">
        <f t="shared" si="1"/>
        <v>1002078.24</v>
      </c>
      <c r="L43" s="6" t="s">
        <v>32</v>
      </c>
    </row>
    <row r="44" spans="1:12" x14ac:dyDescent="0.3">
      <c r="A44" s="6" t="s">
        <v>88</v>
      </c>
      <c r="B44" s="6" t="s">
        <v>26</v>
      </c>
      <c r="C44" s="6" t="s">
        <v>27</v>
      </c>
      <c r="D44" s="6">
        <v>2018</v>
      </c>
      <c r="E44" s="6" t="s">
        <v>48</v>
      </c>
      <c r="F44" s="6" t="s">
        <v>35</v>
      </c>
      <c r="G44" s="6" t="s">
        <v>14</v>
      </c>
      <c r="H44" s="7">
        <v>24980.76</v>
      </c>
      <c r="I44" s="7" t="str">
        <f t="shared" si="0"/>
        <v>80k-90k</v>
      </c>
      <c r="J44" s="6">
        <v>17</v>
      </c>
      <c r="K44" s="8">
        <f t="shared" si="1"/>
        <v>424672.92</v>
      </c>
      <c r="L44" s="6" t="s">
        <v>32</v>
      </c>
    </row>
    <row r="45" spans="1:12" x14ac:dyDescent="0.3">
      <c r="A45" s="6" t="s">
        <v>89</v>
      </c>
      <c r="B45" s="6" t="s">
        <v>43</v>
      </c>
      <c r="C45" s="6" t="s">
        <v>44</v>
      </c>
      <c r="D45" s="6">
        <v>2019</v>
      </c>
      <c r="E45" s="6" t="s">
        <v>31</v>
      </c>
      <c r="F45" s="6" t="s">
        <v>35</v>
      </c>
      <c r="G45" s="6" t="s">
        <v>14</v>
      </c>
      <c r="H45" s="7">
        <v>34474.21</v>
      </c>
      <c r="I45" s="7" t="str">
        <f t="shared" si="0"/>
        <v>80k-90k</v>
      </c>
      <c r="J45" s="6">
        <v>8</v>
      </c>
      <c r="K45" s="8">
        <f t="shared" si="1"/>
        <v>275793.68</v>
      </c>
      <c r="L45" s="6" t="s">
        <v>36</v>
      </c>
    </row>
    <row r="46" spans="1:12" x14ac:dyDescent="0.3">
      <c r="A46" s="6" t="s">
        <v>90</v>
      </c>
      <c r="B46" s="6" t="s">
        <v>43</v>
      </c>
      <c r="C46" s="6" t="s">
        <v>91</v>
      </c>
      <c r="D46" s="6">
        <v>2020</v>
      </c>
      <c r="E46" s="6" t="s">
        <v>31</v>
      </c>
      <c r="F46" s="6" t="s">
        <v>19</v>
      </c>
      <c r="G46" s="6" t="s">
        <v>20</v>
      </c>
      <c r="H46" s="7">
        <v>85822.19</v>
      </c>
      <c r="I46" s="7" t="str">
        <f t="shared" si="0"/>
        <v>80k-90k</v>
      </c>
      <c r="J46" s="6">
        <v>0</v>
      </c>
      <c r="K46" s="8">
        <f t="shared" si="1"/>
        <v>0</v>
      </c>
      <c r="L46" s="6" t="s">
        <v>32</v>
      </c>
    </row>
    <row r="47" spans="1:12" x14ac:dyDescent="0.3">
      <c r="A47" s="6" t="s">
        <v>92</v>
      </c>
      <c r="B47" s="6" t="s">
        <v>43</v>
      </c>
      <c r="C47" s="6" t="s">
        <v>93</v>
      </c>
      <c r="D47" s="6">
        <v>2022</v>
      </c>
      <c r="E47" s="6" t="s">
        <v>31</v>
      </c>
      <c r="F47" s="6" t="s">
        <v>28</v>
      </c>
      <c r="G47" s="6" t="s">
        <v>14</v>
      </c>
      <c r="H47" s="7">
        <v>99941.14</v>
      </c>
      <c r="I47" s="7" t="str">
        <f t="shared" si="0"/>
        <v>90k-1L</v>
      </c>
      <c r="J47" s="6">
        <v>11</v>
      </c>
      <c r="K47" s="8">
        <f t="shared" si="1"/>
        <v>1099352.54</v>
      </c>
      <c r="L47" s="6" t="s">
        <v>36</v>
      </c>
    </row>
    <row r="48" spans="1:12" x14ac:dyDescent="0.3">
      <c r="A48" s="6" t="s">
        <v>94</v>
      </c>
      <c r="B48" s="6" t="s">
        <v>17</v>
      </c>
      <c r="C48" s="6" t="s">
        <v>46</v>
      </c>
      <c r="D48" s="6">
        <v>2019</v>
      </c>
      <c r="E48" s="6" t="s">
        <v>31</v>
      </c>
      <c r="F48" s="6" t="s">
        <v>19</v>
      </c>
      <c r="G48" s="6" t="s">
        <v>20</v>
      </c>
      <c r="H48" s="7">
        <v>37412.17</v>
      </c>
      <c r="I48" s="7" t="str">
        <f t="shared" si="0"/>
        <v>80k-90k</v>
      </c>
      <c r="J48" s="6">
        <v>7</v>
      </c>
      <c r="K48" s="8">
        <f t="shared" si="1"/>
        <v>261885.19</v>
      </c>
      <c r="L48" s="6" t="s">
        <v>15</v>
      </c>
    </row>
    <row r="49" spans="1:12" x14ac:dyDescent="0.3">
      <c r="A49" s="6" t="s">
        <v>95</v>
      </c>
      <c r="B49" s="6" t="s">
        <v>38</v>
      </c>
      <c r="C49" s="6" t="s">
        <v>96</v>
      </c>
      <c r="D49" s="6">
        <v>2022</v>
      </c>
      <c r="E49" s="6" t="s">
        <v>55</v>
      </c>
      <c r="F49" s="6" t="s">
        <v>13</v>
      </c>
      <c r="G49" s="6" t="s">
        <v>14</v>
      </c>
      <c r="H49" s="7">
        <v>72301.279999999999</v>
      </c>
      <c r="I49" s="7" t="str">
        <f t="shared" si="0"/>
        <v>80k-90k</v>
      </c>
      <c r="J49" s="6">
        <v>17</v>
      </c>
      <c r="K49" s="8">
        <f t="shared" si="1"/>
        <v>1229121.76</v>
      </c>
      <c r="L49" s="6" t="s">
        <v>15</v>
      </c>
    </row>
    <row r="50" spans="1:12" x14ac:dyDescent="0.3">
      <c r="A50" s="6" t="s">
        <v>97</v>
      </c>
      <c r="B50" s="6" t="s">
        <v>17</v>
      </c>
      <c r="C50" s="6" t="s">
        <v>46</v>
      </c>
      <c r="D50" s="6">
        <v>2020</v>
      </c>
      <c r="E50" s="6" t="s">
        <v>12</v>
      </c>
      <c r="F50" s="6" t="s">
        <v>35</v>
      </c>
      <c r="G50" s="6" t="s">
        <v>14</v>
      </c>
      <c r="H50" s="7">
        <v>58158.34</v>
      </c>
      <c r="I50" s="7" t="str">
        <f t="shared" si="0"/>
        <v>80k-90k</v>
      </c>
      <c r="J50" s="6">
        <v>5</v>
      </c>
      <c r="K50" s="8">
        <f t="shared" si="1"/>
        <v>290791.69999999995</v>
      </c>
      <c r="L50" s="6" t="s">
        <v>36</v>
      </c>
    </row>
    <row r="51" spans="1:12" x14ac:dyDescent="0.3">
      <c r="A51" s="6" t="s">
        <v>98</v>
      </c>
      <c r="B51" s="6" t="s">
        <v>38</v>
      </c>
      <c r="C51" s="6" t="s">
        <v>39</v>
      </c>
      <c r="D51" s="6">
        <v>2024</v>
      </c>
      <c r="E51" s="6" t="s">
        <v>12</v>
      </c>
      <c r="F51" s="6" t="s">
        <v>35</v>
      </c>
      <c r="G51" s="6" t="s">
        <v>20</v>
      </c>
      <c r="H51" s="7">
        <v>88724.54</v>
      </c>
      <c r="I51" s="7" t="str">
        <f t="shared" si="0"/>
        <v>80k-90k</v>
      </c>
      <c r="J51" s="6">
        <v>16</v>
      </c>
      <c r="K51" s="8">
        <f t="shared" si="1"/>
        <v>1419592.64</v>
      </c>
      <c r="L51" s="6" t="s">
        <v>32</v>
      </c>
    </row>
    <row r="52" spans="1:12" x14ac:dyDescent="0.3">
      <c r="A52" s="6" t="s">
        <v>99</v>
      </c>
      <c r="B52" s="6" t="s">
        <v>70</v>
      </c>
      <c r="C52" s="6" t="s">
        <v>71</v>
      </c>
      <c r="D52" s="6">
        <v>2020</v>
      </c>
      <c r="E52" s="6" t="s">
        <v>40</v>
      </c>
      <c r="F52" s="6" t="s">
        <v>35</v>
      </c>
      <c r="G52" s="6" t="s">
        <v>14</v>
      </c>
      <c r="H52" s="7">
        <v>29037.62</v>
      </c>
      <c r="I52" s="7" t="str">
        <f t="shared" si="0"/>
        <v>80k-90k</v>
      </c>
      <c r="J52" s="6">
        <v>5</v>
      </c>
      <c r="K52" s="8">
        <f t="shared" si="1"/>
        <v>145188.1</v>
      </c>
      <c r="L52" s="6" t="s">
        <v>36</v>
      </c>
    </row>
    <row r="53" spans="1:12" x14ac:dyDescent="0.3">
      <c r="A53" s="6" t="s">
        <v>100</v>
      </c>
      <c r="B53" s="6" t="s">
        <v>70</v>
      </c>
      <c r="C53" s="6" t="s">
        <v>71</v>
      </c>
      <c r="D53" s="6">
        <v>2022</v>
      </c>
      <c r="E53" s="6" t="s">
        <v>40</v>
      </c>
      <c r="F53" s="6" t="s">
        <v>35</v>
      </c>
      <c r="G53" s="6" t="s">
        <v>20</v>
      </c>
      <c r="H53" s="7">
        <v>26075.52</v>
      </c>
      <c r="I53" s="7" t="str">
        <f t="shared" si="0"/>
        <v>80k-90k</v>
      </c>
      <c r="J53" s="6">
        <v>20</v>
      </c>
      <c r="K53" s="8">
        <f t="shared" si="1"/>
        <v>521510.40000000002</v>
      </c>
      <c r="L53" s="6" t="s">
        <v>15</v>
      </c>
    </row>
    <row r="54" spans="1:12" x14ac:dyDescent="0.3">
      <c r="A54" s="6" t="s">
        <v>101</v>
      </c>
      <c r="B54" s="6" t="s">
        <v>17</v>
      </c>
      <c r="C54" s="6" t="s">
        <v>62</v>
      </c>
      <c r="D54" s="6">
        <v>2022</v>
      </c>
      <c r="E54" s="6" t="s">
        <v>55</v>
      </c>
      <c r="F54" s="6" t="s">
        <v>28</v>
      </c>
      <c r="G54" s="6" t="s">
        <v>20</v>
      </c>
      <c r="H54" s="7">
        <v>33621.82</v>
      </c>
      <c r="I54" s="7" t="str">
        <f t="shared" si="0"/>
        <v>80k-90k</v>
      </c>
      <c r="J54" s="6">
        <v>13</v>
      </c>
      <c r="K54" s="8">
        <f t="shared" si="1"/>
        <v>437083.66</v>
      </c>
      <c r="L54" s="6" t="s">
        <v>36</v>
      </c>
    </row>
    <row r="55" spans="1:12" x14ac:dyDescent="0.3">
      <c r="A55" s="6" t="s">
        <v>102</v>
      </c>
      <c r="B55" s="6" t="s">
        <v>10</v>
      </c>
      <c r="C55" s="6" t="s">
        <v>11</v>
      </c>
      <c r="D55" s="6">
        <v>2018</v>
      </c>
      <c r="E55" s="6" t="s">
        <v>48</v>
      </c>
      <c r="F55" s="6" t="s">
        <v>28</v>
      </c>
      <c r="G55" s="6" t="s">
        <v>20</v>
      </c>
      <c r="H55" s="7">
        <v>30129.17</v>
      </c>
      <c r="I55" s="7" t="str">
        <f t="shared" si="0"/>
        <v>80k-90k</v>
      </c>
      <c r="J55" s="6">
        <v>20</v>
      </c>
      <c r="K55" s="8">
        <f t="shared" si="1"/>
        <v>602583.39999999991</v>
      </c>
      <c r="L55" s="6" t="s">
        <v>32</v>
      </c>
    </row>
    <row r="56" spans="1:12" x14ac:dyDescent="0.3">
      <c r="A56" s="6" t="s">
        <v>103</v>
      </c>
      <c r="B56" s="6" t="s">
        <v>43</v>
      </c>
      <c r="C56" s="6" t="s">
        <v>93</v>
      </c>
      <c r="D56" s="6">
        <v>2015</v>
      </c>
      <c r="E56" s="6" t="s">
        <v>24</v>
      </c>
      <c r="F56" s="6" t="s">
        <v>35</v>
      </c>
      <c r="G56" s="6" t="s">
        <v>14</v>
      </c>
      <c r="H56" s="7">
        <v>77348.2</v>
      </c>
      <c r="I56" s="7" t="str">
        <f t="shared" si="0"/>
        <v>80k-90k</v>
      </c>
      <c r="J56" s="6">
        <v>16</v>
      </c>
      <c r="K56" s="8">
        <f t="shared" si="1"/>
        <v>1237571.2</v>
      </c>
      <c r="L56" s="6" t="s">
        <v>15</v>
      </c>
    </row>
    <row r="57" spans="1:12" x14ac:dyDescent="0.3">
      <c r="A57" s="6" t="s">
        <v>104</v>
      </c>
      <c r="B57" s="6" t="s">
        <v>22</v>
      </c>
      <c r="C57" s="6" t="s">
        <v>105</v>
      </c>
      <c r="D57" s="6">
        <v>2021</v>
      </c>
      <c r="E57" s="6" t="s">
        <v>40</v>
      </c>
      <c r="F57" s="6" t="s">
        <v>35</v>
      </c>
      <c r="G57" s="6" t="s">
        <v>20</v>
      </c>
      <c r="H57" s="7">
        <v>65876.67</v>
      </c>
      <c r="I57" s="7" t="str">
        <f t="shared" si="0"/>
        <v>80k-90k</v>
      </c>
      <c r="J57" s="6">
        <v>8</v>
      </c>
      <c r="K57" s="8">
        <f t="shared" si="1"/>
        <v>527013.36</v>
      </c>
      <c r="L57" s="6" t="s">
        <v>15</v>
      </c>
    </row>
    <row r="58" spans="1:12" x14ac:dyDescent="0.3">
      <c r="A58" s="6" t="s">
        <v>106</v>
      </c>
      <c r="B58" s="6" t="s">
        <v>22</v>
      </c>
      <c r="C58" s="6" t="s">
        <v>53</v>
      </c>
      <c r="D58" s="6">
        <v>2018</v>
      </c>
      <c r="E58" s="6" t="s">
        <v>55</v>
      </c>
      <c r="F58" s="6" t="s">
        <v>35</v>
      </c>
      <c r="G58" s="6" t="s">
        <v>20</v>
      </c>
      <c r="H58" s="7">
        <v>61473.24</v>
      </c>
      <c r="I58" s="7" t="str">
        <f t="shared" si="0"/>
        <v>80k-90k</v>
      </c>
      <c r="J58" s="6">
        <v>18</v>
      </c>
      <c r="K58" s="8">
        <f t="shared" si="1"/>
        <v>1106518.32</v>
      </c>
      <c r="L58" s="6" t="s">
        <v>15</v>
      </c>
    </row>
    <row r="59" spans="1:12" x14ac:dyDescent="0.3">
      <c r="A59" s="6" t="s">
        <v>107</v>
      </c>
      <c r="B59" s="6" t="s">
        <v>17</v>
      </c>
      <c r="C59" s="6" t="s">
        <v>46</v>
      </c>
      <c r="D59" s="6">
        <v>2023</v>
      </c>
      <c r="E59" s="6" t="s">
        <v>55</v>
      </c>
      <c r="F59" s="6" t="s">
        <v>19</v>
      </c>
      <c r="G59" s="6" t="s">
        <v>14</v>
      </c>
      <c r="H59" s="7">
        <v>94755.18</v>
      </c>
      <c r="I59" s="7" t="str">
        <f t="shared" si="0"/>
        <v>90k-1L</v>
      </c>
      <c r="J59" s="6">
        <v>12</v>
      </c>
      <c r="K59" s="8">
        <f t="shared" si="1"/>
        <v>1137062.1599999999</v>
      </c>
      <c r="L59" s="6" t="s">
        <v>15</v>
      </c>
    </row>
    <row r="60" spans="1:12" x14ac:dyDescent="0.3">
      <c r="A60" s="6" t="s">
        <v>108</v>
      </c>
      <c r="B60" s="6" t="s">
        <v>70</v>
      </c>
      <c r="C60" s="6" t="s">
        <v>71</v>
      </c>
      <c r="D60" s="6">
        <v>2020</v>
      </c>
      <c r="E60" s="6" t="s">
        <v>40</v>
      </c>
      <c r="F60" s="6" t="s">
        <v>13</v>
      </c>
      <c r="G60" s="6" t="s">
        <v>20</v>
      </c>
      <c r="H60" s="7">
        <v>91552.46</v>
      </c>
      <c r="I60" s="7" t="str">
        <f t="shared" si="0"/>
        <v>90k-1L</v>
      </c>
      <c r="J60" s="6">
        <v>4</v>
      </c>
      <c r="K60" s="8">
        <f t="shared" si="1"/>
        <v>366209.84</v>
      </c>
      <c r="L60" s="6" t="s">
        <v>36</v>
      </c>
    </row>
    <row r="61" spans="1:12" x14ac:dyDescent="0.3">
      <c r="A61" s="6" t="s">
        <v>109</v>
      </c>
      <c r="B61" s="6" t="s">
        <v>10</v>
      </c>
      <c r="C61" s="6" t="s">
        <v>110</v>
      </c>
      <c r="D61" s="6">
        <v>2023</v>
      </c>
      <c r="E61" s="6" t="s">
        <v>48</v>
      </c>
      <c r="F61" s="6" t="s">
        <v>35</v>
      </c>
      <c r="G61" s="6" t="s">
        <v>20</v>
      </c>
      <c r="H61" s="7">
        <v>99129.16</v>
      </c>
      <c r="I61" s="7" t="str">
        <f t="shared" si="0"/>
        <v>90k-1L</v>
      </c>
      <c r="J61" s="6">
        <v>1</v>
      </c>
      <c r="K61" s="8">
        <f t="shared" si="1"/>
        <v>99129.16</v>
      </c>
      <c r="L61" s="6" t="s">
        <v>32</v>
      </c>
    </row>
    <row r="62" spans="1:12" x14ac:dyDescent="0.3">
      <c r="A62" s="6" t="s">
        <v>111</v>
      </c>
      <c r="B62" s="6" t="s">
        <v>22</v>
      </c>
      <c r="C62" s="6" t="s">
        <v>105</v>
      </c>
      <c r="D62" s="6">
        <v>2019</v>
      </c>
      <c r="E62" s="6" t="s">
        <v>55</v>
      </c>
      <c r="F62" s="6" t="s">
        <v>13</v>
      </c>
      <c r="G62" s="6" t="s">
        <v>20</v>
      </c>
      <c r="H62" s="7">
        <v>70324.990000000005</v>
      </c>
      <c r="I62" s="7" t="str">
        <f t="shared" si="0"/>
        <v>80k-90k</v>
      </c>
      <c r="J62" s="6">
        <v>19</v>
      </c>
      <c r="K62" s="8">
        <f t="shared" si="1"/>
        <v>1336174.81</v>
      </c>
      <c r="L62" s="6" t="s">
        <v>15</v>
      </c>
    </row>
    <row r="63" spans="1:12" x14ac:dyDescent="0.3">
      <c r="A63" s="6" t="s">
        <v>112</v>
      </c>
      <c r="B63" s="6" t="s">
        <v>17</v>
      </c>
      <c r="C63" s="6" t="s">
        <v>62</v>
      </c>
      <c r="D63" s="6">
        <v>2017</v>
      </c>
      <c r="E63" s="6" t="s">
        <v>55</v>
      </c>
      <c r="F63" s="6" t="s">
        <v>19</v>
      </c>
      <c r="G63" s="6" t="s">
        <v>20</v>
      </c>
      <c r="H63" s="7">
        <v>39427.050000000003</v>
      </c>
      <c r="I63" s="7" t="str">
        <f t="shared" si="0"/>
        <v>80k-90k</v>
      </c>
      <c r="J63" s="6">
        <v>13</v>
      </c>
      <c r="K63" s="8">
        <f t="shared" si="1"/>
        <v>512551.65</v>
      </c>
      <c r="L63" s="6" t="s">
        <v>15</v>
      </c>
    </row>
    <row r="64" spans="1:12" x14ac:dyDescent="0.3">
      <c r="A64" s="6" t="s">
        <v>113</v>
      </c>
      <c r="B64" s="6" t="s">
        <v>70</v>
      </c>
      <c r="C64" s="6" t="s">
        <v>114</v>
      </c>
      <c r="D64" s="6">
        <v>2019</v>
      </c>
      <c r="E64" s="6" t="s">
        <v>12</v>
      </c>
      <c r="F64" s="6" t="s">
        <v>35</v>
      </c>
      <c r="G64" s="6" t="s">
        <v>20</v>
      </c>
      <c r="H64" s="7">
        <v>83221.84</v>
      </c>
      <c r="I64" s="7" t="str">
        <f t="shared" si="0"/>
        <v>80k-90k</v>
      </c>
      <c r="J64" s="6">
        <v>16</v>
      </c>
      <c r="K64" s="8">
        <f t="shared" si="1"/>
        <v>1331549.44</v>
      </c>
      <c r="L64" s="6" t="s">
        <v>36</v>
      </c>
    </row>
    <row r="65" spans="1:12" x14ac:dyDescent="0.3">
      <c r="A65" s="6" t="s">
        <v>115</v>
      </c>
      <c r="B65" s="6" t="s">
        <v>26</v>
      </c>
      <c r="C65" s="6" t="s">
        <v>74</v>
      </c>
      <c r="D65" s="6">
        <v>2019</v>
      </c>
      <c r="E65" s="6" t="s">
        <v>48</v>
      </c>
      <c r="F65" s="6" t="s">
        <v>35</v>
      </c>
      <c r="G65" s="6" t="s">
        <v>14</v>
      </c>
      <c r="H65" s="7">
        <v>37129.03</v>
      </c>
      <c r="I65" s="7" t="str">
        <f t="shared" si="0"/>
        <v>80k-90k</v>
      </c>
      <c r="J65" s="6">
        <v>7</v>
      </c>
      <c r="K65" s="8">
        <f t="shared" si="1"/>
        <v>259903.21</v>
      </c>
      <c r="L65" s="6" t="s">
        <v>32</v>
      </c>
    </row>
    <row r="66" spans="1:12" x14ac:dyDescent="0.3">
      <c r="A66" s="6" t="s">
        <v>116</v>
      </c>
      <c r="B66" s="6" t="s">
        <v>22</v>
      </c>
      <c r="C66" s="6" t="s">
        <v>53</v>
      </c>
      <c r="D66" s="6">
        <v>2019</v>
      </c>
      <c r="E66" s="6" t="s">
        <v>40</v>
      </c>
      <c r="F66" s="6" t="s">
        <v>19</v>
      </c>
      <c r="G66" s="6" t="s">
        <v>20</v>
      </c>
      <c r="H66" s="7">
        <v>46080.53</v>
      </c>
      <c r="I66" s="7" t="str">
        <f t="shared" ref="I66:I129" si="2">IF(H66&lt;90000,"80k-90k",IF(H66&lt;100000,"90k-1L","1L+"))</f>
        <v>80k-90k</v>
      </c>
      <c r="J66" s="6">
        <v>2</v>
      </c>
      <c r="K66" s="8">
        <f t="shared" ref="K66:K129" si="3">PRODUCT(H66*J66)</f>
        <v>92161.06</v>
      </c>
      <c r="L66" s="6" t="s">
        <v>15</v>
      </c>
    </row>
    <row r="67" spans="1:12" x14ac:dyDescent="0.3">
      <c r="A67" s="6" t="s">
        <v>117</v>
      </c>
      <c r="B67" s="6" t="s">
        <v>38</v>
      </c>
      <c r="C67" s="6" t="s">
        <v>65</v>
      </c>
      <c r="D67" s="6">
        <v>2017</v>
      </c>
      <c r="E67" s="6" t="s">
        <v>31</v>
      </c>
      <c r="F67" s="6" t="s">
        <v>28</v>
      </c>
      <c r="G67" s="6" t="s">
        <v>20</v>
      </c>
      <c r="H67" s="7">
        <v>94252.12</v>
      </c>
      <c r="I67" s="7" t="str">
        <f t="shared" si="2"/>
        <v>90k-1L</v>
      </c>
      <c r="J67" s="6">
        <v>11</v>
      </c>
      <c r="K67" s="8">
        <f t="shared" si="3"/>
        <v>1036773.32</v>
      </c>
      <c r="L67" s="6" t="s">
        <v>32</v>
      </c>
    </row>
    <row r="68" spans="1:12" x14ac:dyDescent="0.3">
      <c r="A68" s="6" t="s">
        <v>118</v>
      </c>
      <c r="B68" s="6" t="s">
        <v>26</v>
      </c>
      <c r="C68" s="6" t="s">
        <v>34</v>
      </c>
      <c r="D68" s="6">
        <v>2016</v>
      </c>
      <c r="E68" s="6" t="s">
        <v>48</v>
      </c>
      <c r="F68" s="6" t="s">
        <v>35</v>
      </c>
      <c r="G68" s="6" t="s">
        <v>20</v>
      </c>
      <c r="H68" s="7">
        <v>16670.509999999998</v>
      </c>
      <c r="I68" s="7" t="str">
        <f t="shared" si="2"/>
        <v>80k-90k</v>
      </c>
      <c r="J68" s="6">
        <v>18</v>
      </c>
      <c r="K68" s="8">
        <f t="shared" si="3"/>
        <v>300069.18</v>
      </c>
      <c r="L68" s="6" t="s">
        <v>32</v>
      </c>
    </row>
    <row r="69" spans="1:12" x14ac:dyDescent="0.3">
      <c r="A69" s="6" t="s">
        <v>119</v>
      </c>
      <c r="B69" s="6" t="s">
        <v>26</v>
      </c>
      <c r="C69" s="6" t="s">
        <v>74</v>
      </c>
      <c r="D69" s="6">
        <v>2018</v>
      </c>
      <c r="E69" s="6" t="s">
        <v>55</v>
      </c>
      <c r="F69" s="6" t="s">
        <v>35</v>
      </c>
      <c r="G69" s="6" t="s">
        <v>14</v>
      </c>
      <c r="H69" s="7">
        <v>47910.8</v>
      </c>
      <c r="I69" s="7" t="str">
        <f t="shared" si="2"/>
        <v>80k-90k</v>
      </c>
      <c r="J69" s="6">
        <v>5</v>
      </c>
      <c r="K69" s="8">
        <f t="shared" si="3"/>
        <v>239554</v>
      </c>
      <c r="L69" s="6" t="s">
        <v>36</v>
      </c>
    </row>
    <row r="70" spans="1:12" x14ac:dyDescent="0.3">
      <c r="A70" s="6" t="s">
        <v>120</v>
      </c>
      <c r="B70" s="6" t="s">
        <v>26</v>
      </c>
      <c r="C70" s="6" t="s">
        <v>27</v>
      </c>
      <c r="D70" s="6">
        <v>2023</v>
      </c>
      <c r="E70" s="6" t="s">
        <v>24</v>
      </c>
      <c r="F70" s="6" t="s">
        <v>28</v>
      </c>
      <c r="G70" s="6" t="s">
        <v>14</v>
      </c>
      <c r="H70" s="7">
        <v>31312.75</v>
      </c>
      <c r="I70" s="7" t="str">
        <f t="shared" si="2"/>
        <v>80k-90k</v>
      </c>
      <c r="J70" s="6">
        <v>19</v>
      </c>
      <c r="K70" s="8">
        <f t="shared" si="3"/>
        <v>594942.25</v>
      </c>
      <c r="L70" s="6" t="s">
        <v>15</v>
      </c>
    </row>
    <row r="71" spans="1:12" x14ac:dyDescent="0.3">
      <c r="A71" s="6" t="s">
        <v>121</v>
      </c>
      <c r="B71" s="6" t="s">
        <v>26</v>
      </c>
      <c r="C71" s="6" t="s">
        <v>27</v>
      </c>
      <c r="D71" s="6">
        <v>2016</v>
      </c>
      <c r="E71" s="6" t="s">
        <v>55</v>
      </c>
      <c r="F71" s="6" t="s">
        <v>28</v>
      </c>
      <c r="G71" s="6" t="s">
        <v>14</v>
      </c>
      <c r="H71" s="7">
        <v>37639.31</v>
      </c>
      <c r="I71" s="7" t="str">
        <f t="shared" si="2"/>
        <v>80k-90k</v>
      </c>
      <c r="J71" s="6">
        <v>19</v>
      </c>
      <c r="K71" s="8">
        <f t="shared" si="3"/>
        <v>715146.8899999999</v>
      </c>
      <c r="L71" s="6" t="s">
        <v>32</v>
      </c>
    </row>
    <row r="72" spans="1:12" x14ac:dyDescent="0.3">
      <c r="A72" s="6" t="s">
        <v>122</v>
      </c>
      <c r="B72" s="6" t="s">
        <v>70</v>
      </c>
      <c r="C72" s="6" t="s">
        <v>114</v>
      </c>
      <c r="D72" s="6">
        <v>2017</v>
      </c>
      <c r="E72" s="6" t="s">
        <v>55</v>
      </c>
      <c r="F72" s="6" t="s">
        <v>19</v>
      </c>
      <c r="G72" s="6" t="s">
        <v>14</v>
      </c>
      <c r="H72" s="7">
        <v>53635.55</v>
      </c>
      <c r="I72" s="7" t="str">
        <f t="shared" si="2"/>
        <v>80k-90k</v>
      </c>
      <c r="J72" s="6">
        <v>4</v>
      </c>
      <c r="K72" s="8">
        <f t="shared" si="3"/>
        <v>214542.2</v>
      </c>
      <c r="L72" s="6" t="s">
        <v>15</v>
      </c>
    </row>
    <row r="73" spans="1:12" x14ac:dyDescent="0.3">
      <c r="A73" s="6" t="s">
        <v>123</v>
      </c>
      <c r="B73" s="6" t="s">
        <v>38</v>
      </c>
      <c r="C73" s="6" t="s">
        <v>96</v>
      </c>
      <c r="D73" s="6">
        <v>2016</v>
      </c>
      <c r="E73" s="6" t="s">
        <v>12</v>
      </c>
      <c r="F73" s="6" t="s">
        <v>19</v>
      </c>
      <c r="G73" s="6" t="s">
        <v>20</v>
      </c>
      <c r="H73" s="7">
        <v>90776.35</v>
      </c>
      <c r="I73" s="7" t="str">
        <f t="shared" si="2"/>
        <v>90k-1L</v>
      </c>
      <c r="J73" s="6">
        <v>5</v>
      </c>
      <c r="K73" s="8">
        <f t="shared" si="3"/>
        <v>453881.75</v>
      </c>
      <c r="L73" s="6" t="s">
        <v>15</v>
      </c>
    </row>
    <row r="74" spans="1:12" x14ac:dyDescent="0.3">
      <c r="A74" s="6" t="s">
        <v>124</v>
      </c>
      <c r="B74" s="6" t="s">
        <v>70</v>
      </c>
      <c r="C74" s="6" t="s">
        <v>71</v>
      </c>
      <c r="D74" s="6">
        <v>2015</v>
      </c>
      <c r="E74" s="6" t="s">
        <v>12</v>
      </c>
      <c r="F74" s="6" t="s">
        <v>35</v>
      </c>
      <c r="G74" s="6" t="s">
        <v>20</v>
      </c>
      <c r="H74" s="7">
        <v>81463.08</v>
      </c>
      <c r="I74" s="7" t="str">
        <f t="shared" si="2"/>
        <v>80k-90k</v>
      </c>
      <c r="J74" s="6">
        <v>15</v>
      </c>
      <c r="K74" s="8">
        <f t="shared" si="3"/>
        <v>1221946.2</v>
      </c>
      <c r="L74" s="6" t="s">
        <v>32</v>
      </c>
    </row>
    <row r="75" spans="1:12" x14ac:dyDescent="0.3">
      <c r="A75" s="6" t="s">
        <v>125</v>
      </c>
      <c r="B75" s="6" t="s">
        <v>26</v>
      </c>
      <c r="C75" s="6" t="s">
        <v>74</v>
      </c>
      <c r="D75" s="6">
        <v>2017</v>
      </c>
      <c r="E75" s="6" t="s">
        <v>40</v>
      </c>
      <c r="F75" s="6" t="s">
        <v>19</v>
      </c>
      <c r="G75" s="6" t="s">
        <v>14</v>
      </c>
      <c r="H75" s="7">
        <v>92661.53</v>
      </c>
      <c r="I75" s="7" t="str">
        <f t="shared" si="2"/>
        <v>90k-1L</v>
      </c>
      <c r="J75" s="6">
        <v>5</v>
      </c>
      <c r="K75" s="8">
        <f t="shared" si="3"/>
        <v>463307.65</v>
      </c>
      <c r="L75" s="6" t="s">
        <v>15</v>
      </c>
    </row>
    <row r="76" spans="1:12" x14ac:dyDescent="0.3">
      <c r="A76" s="6" t="s">
        <v>126</v>
      </c>
      <c r="B76" s="6" t="s">
        <v>70</v>
      </c>
      <c r="C76" s="6" t="s">
        <v>114</v>
      </c>
      <c r="D76" s="6">
        <v>2020</v>
      </c>
      <c r="E76" s="6" t="s">
        <v>55</v>
      </c>
      <c r="F76" s="6" t="s">
        <v>13</v>
      </c>
      <c r="G76" s="6" t="s">
        <v>14</v>
      </c>
      <c r="H76" s="7">
        <v>87777.21</v>
      </c>
      <c r="I76" s="7" t="str">
        <f t="shared" si="2"/>
        <v>80k-90k</v>
      </c>
      <c r="J76" s="6">
        <v>9</v>
      </c>
      <c r="K76" s="8">
        <f t="shared" si="3"/>
        <v>789994.89</v>
      </c>
      <c r="L76" s="6" t="s">
        <v>32</v>
      </c>
    </row>
    <row r="77" spans="1:12" x14ac:dyDescent="0.3">
      <c r="A77" s="6" t="s">
        <v>127</v>
      </c>
      <c r="B77" s="6" t="s">
        <v>22</v>
      </c>
      <c r="C77" s="6" t="s">
        <v>23</v>
      </c>
      <c r="D77" s="6">
        <v>2020</v>
      </c>
      <c r="E77" s="6" t="s">
        <v>48</v>
      </c>
      <c r="F77" s="6" t="s">
        <v>28</v>
      </c>
      <c r="G77" s="6" t="s">
        <v>20</v>
      </c>
      <c r="H77" s="7">
        <v>97778.44</v>
      </c>
      <c r="I77" s="7" t="str">
        <f t="shared" si="2"/>
        <v>90k-1L</v>
      </c>
      <c r="J77" s="6">
        <v>15</v>
      </c>
      <c r="K77" s="8">
        <f t="shared" si="3"/>
        <v>1466676.6</v>
      </c>
      <c r="L77" s="6" t="s">
        <v>15</v>
      </c>
    </row>
    <row r="78" spans="1:12" x14ac:dyDescent="0.3">
      <c r="A78" s="6" t="s">
        <v>128</v>
      </c>
      <c r="B78" s="6" t="s">
        <v>10</v>
      </c>
      <c r="C78" s="6" t="s">
        <v>30</v>
      </c>
      <c r="D78" s="6">
        <v>2018</v>
      </c>
      <c r="E78" s="6" t="s">
        <v>55</v>
      </c>
      <c r="F78" s="6" t="s">
        <v>19</v>
      </c>
      <c r="G78" s="6" t="s">
        <v>14</v>
      </c>
      <c r="H78" s="7">
        <v>37286.07</v>
      </c>
      <c r="I78" s="7" t="str">
        <f t="shared" si="2"/>
        <v>80k-90k</v>
      </c>
      <c r="J78" s="6">
        <v>7</v>
      </c>
      <c r="K78" s="8">
        <f t="shared" si="3"/>
        <v>261002.49</v>
      </c>
      <c r="L78" s="6" t="s">
        <v>36</v>
      </c>
    </row>
    <row r="79" spans="1:12" x14ac:dyDescent="0.3">
      <c r="A79" s="6" t="s">
        <v>129</v>
      </c>
      <c r="B79" s="6" t="s">
        <v>43</v>
      </c>
      <c r="C79" s="6" t="s">
        <v>44</v>
      </c>
      <c r="D79" s="6">
        <v>2020</v>
      </c>
      <c r="E79" s="6" t="s">
        <v>24</v>
      </c>
      <c r="F79" s="6" t="s">
        <v>28</v>
      </c>
      <c r="G79" s="6" t="s">
        <v>20</v>
      </c>
      <c r="H79" s="7">
        <v>87241.9</v>
      </c>
      <c r="I79" s="7" t="str">
        <f t="shared" si="2"/>
        <v>80k-90k</v>
      </c>
      <c r="J79" s="6">
        <v>2</v>
      </c>
      <c r="K79" s="8">
        <f t="shared" si="3"/>
        <v>174483.8</v>
      </c>
      <c r="L79" s="6" t="s">
        <v>15</v>
      </c>
    </row>
    <row r="80" spans="1:12" x14ac:dyDescent="0.3">
      <c r="A80" s="6" t="s">
        <v>130</v>
      </c>
      <c r="B80" s="6" t="s">
        <v>10</v>
      </c>
      <c r="C80" s="6" t="s">
        <v>110</v>
      </c>
      <c r="D80" s="6">
        <v>2019</v>
      </c>
      <c r="E80" s="6" t="s">
        <v>24</v>
      </c>
      <c r="F80" s="6" t="s">
        <v>35</v>
      </c>
      <c r="G80" s="6" t="s">
        <v>14</v>
      </c>
      <c r="H80" s="7">
        <v>86983.02</v>
      </c>
      <c r="I80" s="7" t="str">
        <f t="shared" si="2"/>
        <v>80k-90k</v>
      </c>
      <c r="J80" s="6">
        <v>1</v>
      </c>
      <c r="K80" s="8">
        <f t="shared" si="3"/>
        <v>86983.02</v>
      </c>
      <c r="L80" s="6" t="s">
        <v>15</v>
      </c>
    </row>
    <row r="81" spans="1:12" x14ac:dyDescent="0.3">
      <c r="A81" s="6" t="s">
        <v>131</v>
      </c>
      <c r="B81" s="6" t="s">
        <v>43</v>
      </c>
      <c r="C81" s="6" t="s">
        <v>93</v>
      </c>
      <c r="D81" s="6">
        <v>2020</v>
      </c>
      <c r="E81" s="6" t="s">
        <v>31</v>
      </c>
      <c r="F81" s="6" t="s">
        <v>13</v>
      </c>
      <c r="G81" s="6" t="s">
        <v>14</v>
      </c>
      <c r="H81" s="7">
        <v>97807.1</v>
      </c>
      <c r="I81" s="7" t="str">
        <f t="shared" si="2"/>
        <v>90k-1L</v>
      </c>
      <c r="J81" s="6">
        <v>13</v>
      </c>
      <c r="K81" s="8">
        <f t="shared" si="3"/>
        <v>1271492.3</v>
      </c>
      <c r="L81" s="6" t="s">
        <v>36</v>
      </c>
    </row>
    <row r="82" spans="1:12" x14ac:dyDescent="0.3">
      <c r="A82" s="6" t="s">
        <v>132</v>
      </c>
      <c r="B82" s="6" t="s">
        <v>17</v>
      </c>
      <c r="C82" s="6" t="s">
        <v>18</v>
      </c>
      <c r="D82" s="6">
        <v>2016</v>
      </c>
      <c r="E82" s="6" t="s">
        <v>55</v>
      </c>
      <c r="F82" s="6" t="s">
        <v>13</v>
      </c>
      <c r="G82" s="6" t="s">
        <v>20</v>
      </c>
      <c r="H82" s="7">
        <v>37385.339999999997</v>
      </c>
      <c r="I82" s="7" t="str">
        <f t="shared" si="2"/>
        <v>80k-90k</v>
      </c>
      <c r="J82" s="6">
        <v>12</v>
      </c>
      <c r="K82" s="8">
        <f t="shared" si="3"/>
        <v>448624.07999999996</v>
      </c>
      <c r="L82" s="6" t="s">
        <v>32</v>
      </c>
    </row>
    <row r="83" spans="1:12" x14ac:dyDescent="0.3">
      <c r="A83" s="6" t="s">
        <v>133</v>
      </c>
      <c r="B83" s="6" t="s">
        <v>17</v>
      </c>
      <c r="C83" s="6" t="s">
        <v>46</v>
      </c>
      <c r="D83" s="6">
        <v>2015</v>
      </c>
      <c r="E83" s="6" t="s">
        <v>40</v>
      </c>
      <c r="F83" s="6" t="s">
        <v>35</v>
      </c>
      <c r="G83" s="6" t="s">
        <v>14</v>
      </c>
      <c r="H83" s="7">
        <v>71327.53</v>
      </c>
      <c r="I83" s="7" t="str">
        <f t="shared" si="2"/>
        <v>80k-90k</v>
      </c>
      <c r="J83" s="6">
        <v>16</v>
      </c>
      <c r="K83" s="8">
        <f t="shared" si="3"/>
        <v>1141240.48</v>
      </c>
      <c r="L83" s="6" t="s">
        <v>36</v>
      </c>
    </row>
    <row r="84" spans="1:12" x14ac:dyDescent="0.3">
      <c r="A84" s="6" t="s">
        <v>134</v>
      </c>
      <c r="B84" s="6" t="s">
        <v>26</v>
      </c>
      <c r="C84" s="6" t="s">
        <v>34</v>
      </c>
      <c r="D84" s="6">
        <v>2020</v>
      </c>
      <c r="E84" s="6" t="s">
        <v>55</v>
      </c>
      <c r="F84" s="6" t="s">
        <v>19</v>
      </c>
      <c r="G84" s="6" t="s">
        <v>20</v>
      </c>
      <c r="H84" s="7">
        <v>94839.15</v>
      </c>
      <c r="I84" s="7" t="str">
        <f t="shared" si="2"/>
        <v>90k-1L</v>
      </c>
      <c r="J84" s="6">
        <v>16</v>
      </c>
      <c r="K84" s="8">
        <f t="shared" si="3"/>
        <v>1517426.4</v>
      </c>
      <c r="L84" s="6" t="s">
        <v>15</v>
      </c>
    </row>
    <row r="85" spans="1:12" x14ac:dyDescent="0.3">
      <c r="A85" s="6" t="s">
        <v>135</v>
      </c>
      <c r="B85" s="6" t="s">
        <v>43</v>
      </c>
      <c r="C85" s="6" t="s">
        <v>44</v>
      </c>
      <c r="D85" s="6">
        <v>2024</v>
      </c>
      <c r="E85" s="6" t="s">
        <v>31</v>
      </c>
      <c r="F85" s="6" t="s">
        <v>13</v>
      </c>
      <c r="G85" s="6" t="s">
        <v>20</v>
      </c>
      <c r="H85" s="7">
        <v>45427.97</v>
      </c>
      <c r="I85" s="7" t="str">
        <f t="shared" si="2"/>
        <v>80k-90k</v>
      </c>
      <c r="J85" s="6">
        <v>18</v>
      </c>
      <c r="K85" s="8">
        <f t="shared" si="3"/>
        <v>817703.46</v>
      </c>
      <c r="L85" s="6" t="s">
        <v>15</v>
      </c>
    </row>
    <row r="86" spans="1:12" x14ac:dyDescent="0.3">
      <c r="A86" s="6" t="s">
        <v>136</v>
      </c>
      <c r="B86" s="6" t="s">
        <v>38</v>
      </c>
      <c r="C86" s="6" t="s">
        <v>65</v>
      </c>
      <c r="D86" s="6">
        <v>2020</v>
      </c>
      <c r="E86" s="6" t="s">
        <v>31</v>
      </c>
      <c r="F86" s="6" t="s">
        <v>35</v>
      </c>
      <c r="G86" s="6" t="s">
        <v>20</v>
      </c>
      <c r="H86" s="7">
        <v>92630.78</v>
      </c>
      <c r="I86" s="7" t="str">
        <f t="shared" si="2"/>
        <v>90k-1L</v>
      </c>
      <c r="J86" s="6">
        <v>18</v>
      </c>
      <c r="K86" s="8">
        <f t="shared" si="3"/>
        <v>1667354.04</v>
      </c>
      <c r="L86" s="6" t="s">
        <v>32</v>
      </c>
    </row>
    <row r="87" spans="1:12" x14ac:dyDescent="0.3">
      <c r="A87" s="6" t="s">
        <v>137</v>
      </c>
      <c r="B87" s="6" t="s">
        <v>552</v>
      </c>
      <c r="C87" s="6" t="s">
        <v>91</v>
      </c>
      <c r="D87" s="6">
        <v>2019</v>
      </c>
      <c r="E87" s="6" t="s">
        <v>48</v>
      </c>
      <c r="F87" s="6" t="s">
        <v>28</v>
      </c>
      <c r="G87" s="6" t="s">
        <v>14</v>
      </c>
      <c r="H87" s="7">
        <v>73510.91</v>
      </c>
      <c r="I87" s="7" t="str">
        <f t="shared" si="2"/>
        <v>80k-90k</v>
      </c>
      <c r="J87" s="6">
        <v>14</v>
      </c>
      <c r="K87" s="8">
        <f t="shared" si="3"/>
        <v>1029152.74</v>
      </c>
      <c r="L87" s="6" t="s">
        <v>15</v>
      </c>
    </row>
    <row r="88" spans="1:12" x14ac:dyDescent="0.3">
      <c r="A88" s="6" t="s">
        <v>138</v>
      </c>
      <c r="B88" s="6" t="s">
        <v>38</v>
      </c>
      <c r="C88" s="6" t="s">
        <v>96</v>
      </c>
      <c r="D88" s="6">
        <v>2025</v>
      </c>
      <c r="E88" s="6" t="s">
        <v>40</v>
      </c>
      <c r="F88" s="6" t="s">
        <v>28</v>
      </c>
      <c r="G88" s="6" t="s">
        <v>20</v>
      </c>
      <c r="H88" s="7">
        <v>68728.350000000006</v>
      </c>
      <c r="I88" s="7" t="str">
        <f t="shared" si="2"/>
        <v>80k-90k</v>
      </c>
      <c r="J88" s="6">
        <v>10</v>
      </c>
      <c r="K88" s="8">
        <f t="shared" si="3"/>
        <v>687283.5</v>
      </c>
      <c r="L88" s="6" t="s">
        <v>15</v>
      </c>
    </row>
    <row r="89" spans="1:12" x14ac:dyDescent="0.3">
      <c r="A89" s="6" t="s">
        <v>139</v>
      </c>
      <c r="B89" s="6" t="s">
        <v>70</v>
      </c>
      <c r="C89" s="6" t="s">
        <v>80</v>
      </c>
      <c r="D89" s="6">
        <v>2024</v>
      </c>
      <c r="E89" s="6" t="s">
        <v>31</v>
      </c>
      <c r="F89" s="6" t="s">
        <v>28</v>
      </c>
      <c r="G89" s="6" t="s">
        <v>14</v>
      </c>
      <c r="H89" s="7">
        <v>92417.23</v>
      </c>
      <c r="I89" s="7" t="str">
        <f t="shared" si="2"/>
        <v>90k-1L</v>
      </c>
      <c r="J89" s="6">
        <v>0</v>
      </c>
      <c r="K89" s="8">
        <f t="shared" si="3"/>
        <v>0</v>
      </c>
      <c r="L89" s="6" t="s">
        <v>36</v>
      </c>
    </row>
    <row r="90" spans="1:12" x14ac:dyDescent="0.3">
      <c r="A90" s="6" t="s">
        <v>140</v>
      </c>
      <c r="B90" s="6" t="s">
        <v>22</v>
      </c>
      <c r="C90" s="6" t="s">
        <v>23</v>
      </c>
      <c r="D90" s="6">
        <v>2018</v>
      </c>
      <c r="E90" s="6" t="s">
        <v>12</v>
      </c>
      <c r="F90" s="6" t="s">
        <v>19</v>
      </c>
      <c r="G90" s="6" t="s">
        <v>20</v>
      </c>
      <c r="H90" s="7">
        <v>33212.379999999997</v>
      </c>
      <c r="I90" s="7" t="str">
        <f t="shared" si="2"/>
        <v>80k-90k</v>
      </c>
      <c r="J90" s="6">
        <v>14</v>
      </c>
      <c r="K90" s="8">
        <f t="shared" si="3"/>
        <v>464973.31999999995</v>
      </c>
      <c r="L90" s="6" t="s">
        <v>32</v>
      </c>
    </row>
    <row r="91" spans="1:12" x14ac:dyDescent="0.3">
      <c r="A91" s="6" t="s">
        <v>141</v>
      </c>
      <c r="B91" s="6" t="s">
        <v>43</v>
      </c>
      <c r="C91" s="6" t="s">
        <v>91</v>
      </c>
      <c r="D91" s="6">
        <v>2019</v>
      </c>
      <c r="E91" s="6" t="s">
        <v>48</v>
      </c>
      <c r="F91" s="6" t="s">
        <v>19</v>
      </c>
      <c r="G91" s="6" t="s">
        <v>14</v>
      </c>
      <c r="H91" s="7">
        <v>17920.21</v>
      </c>
      <c r="I91" s="7" t="str">
        <f t="shared" si="2"/>
        <v>80k-90k</v>
      </c>
      <c r="J91" s="6">
        <v>10</v>
      </c>
      <c r="K91" s="8">
        <f t="shared" si="3"/>
        <v>179202.09999999998</v>
      </c>
      <c r="L91" s="6" t="s">
        <v>32</v>
      </c>
    </row>
    <row r="92" spans="1:12" x14ac:dyDescent="0.3">
      <c r="A92" s="6" t="s">
        <v>142</v>
      </c>
      <c r="B92" s="6" t="s">
        <v>26</v>
      </c>
      <c r="C92" s="6" t="s">
        <v>74</v>
      </c>
      <c r="D92" s="6">
        <v>2018</v>
      </c>
      <c r="E92" s="6" t="s">
        <v>55</v>
      </c>
      <c r="F92" s="6" t="s">
        <v>19</v>
      </c>
      <c r="G92" s="6" t="s">
        <v>20</v>
      </c>
      <c r="H92" s="7">
        <v>92699.73</v>
      </c>
      <c r="I92" s="7" t="str">
        <f t="shared" si="2"/>
        <v>90k-1L</v>
      </c>
      <c r="J92" s="6">
        <v>8</v>
      </c>
      <c r="K92" s="8">
        <f t="shared" si="3"/>
        <v>741597.84</v>
      </c>
      <c r="L92" s="6" t="s">
        <v>32</v>
      </c>
    </row>
    <row r="93" spans="1:12" x14ac:dyDescent="0.3">
      <c r="A93" s="6" t="s">
        <v>143</v>
      </c>
      <c r="B93" s="6" t="s">
        <v>38</v>
      </c>
      <c r="C93" s="6" t="s">
        <v>96</v>
      </c>
      <c r="D93" s="6">
        <v>2023</v>
      </c>
      <c r="E93" s="6" t="s">
        <v>31</v>
      </c>
      <c r="F93" s="6" t="s">
        <v>13</v>
      </c>
      <c r="G93" s="6" t="s">
        <v>14</v>
      </c>
      <c r="H93" s="7">
        <v>78374.899999999994</v>
      </c>
      <c r="I93" s="7" t="str">
        <f t="shared" si="2"/>
        <v>80k-90k</v>
      </c>
      <c r="J93" s="6">
        <v>10</v>
      </c>
      <c r="K93" s="8">
        <f t="shared" si="3"/>
        <v>783749</v>
      </c>
      <c r="L93" s="6" t="s">
        <v>15</v>
      </c>
    </row>
    <row r="94" spans="1:12" x14ac:dyDescent="0.3">
      <c r="A94" s="6" t="s">
        <v>144</v>
      </c>
      <c r="B94" s="6" t="s">
        <v>26</v>
      </c>
      <c r="C94" s="6" t="s">
        <v>74</v>
      </c>
      <c r="D94" s="6">
        <v>2019</v>
      </c>
      <c r="E94" s="6" t="s">
        <v>24</v>
      </c>
      <c r="F94" s="6" t="s">
        <v>19</v>
      </c>
      <c r="G94" s="6" t="s">
        <v>20</v>
      </c>
      <c r="H94" s="7">
        <v>86288.69</v>
      </c>
      <c r="I94" s="7" t="str">
        <f t="shared" si="2"/>
        <v>80k-90k</v>
      </c>
      <c r="J94" s="6">
        <v>14</v>
      </c>
      <c r="K94" s="8">
        <f t="shared" si="3"/>
        <v>1208041.6600000001</v>
      </c>
      <c r="L94" s="6" t="s">
        <v>36</v>
      </c>
    </row>
    <row r="95" spans="1:12" x14ac:dyDescent="0.3">
      <c r="A95" s="6" t="s">
        <v>145</v>
      </c>
      <c r="B95" s="6" t="s">
        <v>17</v>
      </c>
      <c r="C95" s="6" t="s">
        <v>18</v>
      </c>
      <c r="D95" s="6">
        <v>2023</v>
      </c>
      <c r="E95" s="6" t="s">
        <v>48</v>
      </c>
      <c r="F95" s="6" t="s">
        <v>28</v>
      </c>
      <c r="G95" s="6" t="s">
        <v>14</v>
      </c>
      <c r="H95" s="7">
        <v>35633.32</v>
      </c>
      <c r="I95" s="7" t="str">
        <f t="shared" si="2"/>
        <v>80k-90k</v>
      </c>
      <c r="J95" s="6">
        <v>12</v>
      </c>
      <c r="K95" s="8">
        <f t="shared" si="3"/>
        <v>427599.83999999997</v>
      </c>
      <c r="L95" s="6" t="s">
        <v>36</v>
      </c>
    </row>
    <row r="96" spans="1:12" x14ac:dyDescent="0.3">
      <c r="A96" s="6" t="s">
        <v>146</v>
      </c>
      <c r="B96" s="6" t="s">
        <v>10</v>
      </c>
      <c r="C96" s="6" t="s">
        <v>11</v>
      </c>
      <c r="D96" s="6">
        <v>2023</v>
      </c>
      <c r="E96" s="6" t="s">
        <v>31</v>
      </c>
      <c r="F96" s="6" t="s">
        <v>28</v>
      </c>
      <c r="G96" s="6" t="s">
        <v>20</v>
      </c>
      <c r="H96" s="7">
        <v>74054.31</v>
      </c>
      <c r="I96" s="7" t="str">
        <f t="shared" si="2"/>
        <v>80k-90k</v>
      </c>
      <c r="J96" s="6">
        <v>3</v>
      </c>
      <c r="K96" s="8">
        <f t="shared" si="3"/>
        <v>222162.93</v>
      </c>
      <c r="L96" s="6" t="s">
        <v>32</v>
      </c>
    </row>
    <row r="97" spans="1:12" x14ac:dyDescent="0.3">
      <c r="A97" s="6" t="s">
        <v>147</v>
      </c>
      <c r="B97" s="6" t="s">
        <v>22</v>
      </c>
      <c r="C97" s="6" t="s">
        <v>23</v>
      </c>
      <c r="D97" s="6">
        <v>2019</v>
      </c>
      <c r="E97" s="6" t="s">
        <v>31</v>
      </c>
      <c r="F97" s="6" t="s">
        <v>13</v>
      </c>
      <c r="G97" s="6" t="s">
        <v>14</v>
      </c>
      <c r="H97" s="7">
        <v>61660.65</v>
      </c>
      <c r="I97" s="7" t="str">
        <f t="shared" si="2"/>
        <v>80k-90k</v>
      </c>
      <c r="J97" s="6">
        <v>1</v>
      </c>
      <c r="K97" s="8">
        <f t="shared" si="3"/>
        <v>61660.65</v>
      </c>
      <c r="L97" s="6" t="s">
        <v>32</v>
      </c>
    </row>
    <row r="98" spans="1:12" x14ac:dyDescent="0.3">
      <c r="A98" s="6" t="s">
        <v>148</v>
      </c>
      <c r="B98" s="6" t="s">
        <v>26</v>
      </c>
      <c r="C98" s="6" t="s">
        <v>27</v>
      </c>
      <c r="D98" s="6">
        <v>2025</v>
      </c>
      <c r="E98" s="6" t="s">
        <v>31</v>
      </c>
      <c r="F98" s="6" t="s">
        <v>35</v>
      </c>
      <c r="G98" s="6" t="s">
        <v>14</v>
      </c>
      <c r="H98" s="7">
        <v>56746.29</v>
      </c>
      <c r="I98" s="7" t="str">
        <f t="shared" si="2"/>
        <v>80k-90k</v>
      </c>
      <c r="J98" s="6">
        <v>4</v>
      </c>
      <c r="K98" s="8">
        <f t="shared" si="3"/>
        <v>226985.16</v>
      </c>
      <c r="L98" s="6" t="s">
        <v>36</v>
      </c>
    </row>
    <row r="99" spans="1:12" x14ac:dyDescent="0.3">
      <c r="A99" s="6" t="s">
        <v>149</v>
      </c>
      <c r="B99" s="6" t="s">
        <v>17</v>
      </c>
      <c r="C99" s="6" t="s">
        <v>62</v>
      </c>
      <c r="D99" s="6">
        <v>2017</v>
      </c>
      <c r="E99" s="6" t="s">
        <v>24</v>
      </c>
      <c r="F99" s="6" t="s">
        <v>19</v>
      </c>
      <c r="G99" s="6" t="s">
        <v>14</v>
      </c>
      <c r="H99" s="7">
        <v>99875.13</v>
      </c>
      <c r="I99" s="7" t="str">
        <f t="shared" si="2"/>
        <v>90k-1L</v>
      </c>
      <c r="J99" s="6">
        <v>17</v>
      </c>
      <c r="K99" s="8">
        <f t="shared" si="3"/>
        <v>1697877.21</v>
      </c>
      <c r="L99" s="6" t="s">
        <v>32</v>
      </c>
    </row>
    <row r="100" spans="1:12" x14ac:dyDescent="0.3">
      <c r="A100" s="6" t="s">
        <v>150</v>
      </c>
      <c r="B100" s="6" t="s">
        <v>26</v>
      </c>
      <c r="C100" s="6" t="s">
        <v>74</v>
      </c>
      <c r="D100" s="6">
        <v>2018</v>
      </c>
      <c r="E100" s="6" t="s">
        <v>40</v>
      </c>
      <c r="F100" s="6" t="s">
        <v>35</v>
      </c>
      <c r="G100" s="6" t="s">
        <v>14</v>
      </c>
      <c r="H100" s="7">
        <v>38984.11</v>
      </c>
      <c r="I100" s="7" t="str">
        <f t="shared" si="2"/>
        <v>80k-90k</v>
      </c>
      <c r="J100" s="6">
        <v>0</v>
      </c>
      <c r="K100" s="8">
        <f t="shared" si="3"/>
        <v>0</v>
      </c>
      <c r="L100" s="6" t="s">
        <v>32</v>
      </c>
    </row>
    <row r="101" spans="1:12" x14ac:dyDescent="0.3">
      <c r="A101" s="6" t="s">
        <v>151</v>
      </c>
      <c r="B101" s="6" t="s">
        <v>22</v>
      </c>
      <c r="C101" s="6" t="s">
        <v>105</v>
      </c>
      <c r="D101" s="6">
        <v>2018</v>
      </c>
      <c r="E101" s="6" t="s">
        <v>24</v>
      </c>
      <c r="F101" s="6" t="s">
        <v>13</v>
      </c>
      <c r="G101" s="6" t="s">
        <v>20</v>
      </c>
      <c r="H101" s="7">
        <v>74108.179999999993</v>
      </c>
      <c r="I101" s="7" t="str">
        <f t="shared" si="2"/>
        <v>80k-90k</v>
      </c>
      <c r="J101" s="6">
        <v>10</v>
      </c>
      <c r="K101" s="8">
        <f t="shared" si="3"/>
        <v>741081.79999999993</v>
      </c>
      <c r="L101" s="6" t="s">
        <v>32</v>
      </c>
    </row>
    <row r="102" spans="1:12" x14ac:dyDescent="0.3">
      <c r="A102" s="6" t="s">
        <v>152</v>
      </c>
      <c r="B102" s="6" t="s">
        <v>38</v>
      </c>
      <c r="C102" s="6" t="s">
        <v>96</v>
      </c>
      <c r="D102" s="6">
        <v>2015</v>
      </c>
      <c r="E102" s="6" t="s">
        <v>48</v>
      </c>
      <c r="F102" s="6" t="s">
        <v>28</v>
      </c>
      <c r="G102" s="6" t="s">
        <v>20</v>
      </c>
      <c r="H102" s="7">
        <v>75529.64</v>
      </c>
      <c r="I102" s="7" t="str">
        <f t="shared" si="2"/>
        <v>80k-90k</v>
      </c>
      <c r="J102" s="6">
        <v>11</v>
      </c>
      <c r="K102" s="8">
        <f t="shared" si="3"/>
        <v>830826.04</v>
      </c>
      <c r="L102" s="6" t="s">
        <v>36</v>
      </c>
    </row>
    <row r="103" spans="1:12" x14ac:dyDescent="0.3">
      <c r="A103" s="6" t="s">
        <v>153</v>
      </c>
      <c r="B103" s="6" t="s">
        <v>10</v>
      </c>
      <c r="C103" s="6" t="s">
        <v>11</v>
      </c>
      <c r="D103" s="6">
        <v>2018</v>
      </c>
      <c r="E103" s="6" t="s">
        <v>12</v>
      </c>
      <c r="F103" s="6" t="s">
        <v>28</v>
      </c>
      <c r="G103" s="6" t="s">
        <v>14</v>
      </c>
      <c r="H103" s="7">
        <v>95035.77</v>
      </c>
      <c r="I103" s="7" t="str">
        <f t="shared" si="2"/>
        <v>90k-1L</v>
      </c>
      <c r="J103" s="6">
        <v>10</v>
      </c>
      <c r="K103" s="8">
        <f t="shared" si="3"/>
        <v>950357.70000000007</v>
      </c>
      <c r="L103" s="6" t="s">
        <v>36</v>
      </c>
    </row>
    <row r="104" spans="1:12" x14ac:dyDescent="0.3">
      <c r="A104" s="6" t="s">
        <v>154</v>
      </c>
      <c r="B104" s="6" t="s">
        <v>22</v>
      </c>
      <c r="C104" s="6" t="s">
        <v>53</v>
      </c>
      <c r="D104" s="6">
        <v>2019</v>
      </c>
      <c r="E104" s="6" t="s">
        <v>12</v>
      </c>
      <c r="F104" s="6" t="s">
        <v>28</v>
      </c>
      <c r="G104" s="6" t="s">
        <v>20</v>
      </c>
      <c r="H104" s="7">
        <v>33878.129999999997</v>
      </c>
      <c r="I104" s="7" t="str">
        <f t="shared" si="2"/>
        <v>80k-90k</v>
      </c>
      <c r="J104" s="6">
        <v>5</v>
      </c>
      <c r="K104" s="8">
        <f t="shared" si="3"/>
        <v>169390.65</v>
      </c>
      <c r="L104" s="6" t="s">
        <v>15</v>
      </c>
    </row>
    <row r="105" spans="1:12" x14ac:dyDescent="0.3">
      <c r="A105" s="6" t="s">
        <v>155</v>
      </c>
      <c r="B105" s="6" t="s">
        <v>38</v>
      </c>
      <c r="C105" s="6" t="s">
        <v>39</v>
      </c>
      <c r="D105" s="6">
        <v>2020</v>
      </c>
      <c r="E105" s="6" t="s">
        <v>31</v>
      </c>
      <c r="F105" s="6" t="s">
        <v>13</v>
      </c>
      <c r="G105" s="6" t="s">
        <v>14</v>
      </c>
      <c r="H105" s="7">
        <v>88830.31</v>
      </c>
      <c r="I105" s="7" t="str">
        <f t="shared" si="2"/>
        <v>80k-90k</v>
      </c>
      <c r="J105" s="6">
        <v>3</v>
      </c>
      <c r="K105" s="8">
        <f t="shared" si="3"/>
        <v>266490.93</v>
      </c>
      <c r="L105" s="6" t="s">
        <v>32</v>
      </c>
    </row>
    <row r="106" spans="1:12" x14ac:dyDescent="0.3">
      <c r="A106" s="6" t="s">
        <v>156</v>
      </c>
      <c r="B106" s="6" t="s">
        <v>70</v>
      </c>
      <c r="C106" s="6" t="s">
        <v>71</v>
      </c>
      <c r="D106" s="6">
        <v>2022</v>
      </c>
      <c r="E106" s="6" t="s">
        <v>31</v>
      </c>
      <c r="F106" s="6" t="s">
        <v>35</v>
      </c>
      <c r="G106" s="6" t="s">
        <v>20</v>
      </c>
      <c r="H106" s="7">
        <v>54845.1</v>
      </c>
      <c r="I106" s="7" t="str">
        <f t="shared" si="2"/>
        <v>80k-90k</v>
      </c>
      <c r="J106" s="6">
        <v>12</v>
      </c>
      <c r="K106" s="8">
        <f t="shared" si="3"/>
        <v>658141.19999999995</v>
      </c>
      <c r="L106" s="6" t="s">
        <v>36</v>
      </c>
    </row>
    <row r="107" spans="1:12" x14ac:dyDescent="0.3">
      <c r="A107" s="6" t="s">
        <v>157</v>
      </c>
      <c r="B107" s="6" t="s">
        <v>43</v>
      </c>
      <c r="C107" s="6" t="s">
        <v>91</v>
      </c>
      <c r="D107" s="6">
        <v>2023</v>
      </c>
      <c r="E107" s="6" t="s">
        <v>31</v>
      </c>
      <c r="F107" s="6" t="s">
        <v>13</v>
      </c>
      <c r="G107" s="6" t="s">
        <v>14</v>
      </c>
      <c r="H107" s="7">
        <v>57448.98</v>
      </c>
      <c r="I107" s="7" t="str">
        <f t="shared" si="2"/>
        <v>80k-90k</v>
      </c>
      <c r="J107" s="6">
        <v>18</v>
      </c>
      <c r="K107" s="8">
        <f t="shared" si="3"/>
        <v>1034081.64</v>
      </c>
      <c r="L107" s="6" t="s">
        <v>32</v>
      </c>
    </row>
    <row r="108" spans="1:12" x14ac:dyDescent="0.3">
      <c r="A108" s="6" t="s">
        <v>158</v>
      </c>
      <c r="B108" s="6" t="s">
        <v>26</v>
      </c>
      <c r="C108" s="6" t="s">
        <v>74</v>
      </c>
      <c r="D108" s="6">
        <v>2021</v>
      </c>
      <c r="E108" s="6" t="s">
        <v>40</v>
      </c>
      <c r="F108" s="6" t="s">
        <v>19</v>
      </c>
      <c r="G108" s="6" t="s">
        <v>14</v>
      </c>
      <c r="H108" s="7">
        <v>46740.58</v>
      </c>
      <c r="I108" s="7" t="str">
        <f t="shared" si="2"/>
        <v>80k-90k</v>
      </c>
      <c r="J108" s="6">
        <v>14</v>
      </c>
      <c r="K108" s="8">
        <f t="shared" si="3"/>
        <v>654368.12</v>
      </c>
      <c r="L108" s="6" t="s">
        <v>36</v>
      </c>
    </row>
    <row r="109" spans="1:12" x14ac:dyDescent="0.3">
      <c r="A109" s="6" t="s">
        <v>159</v>
      </c>
      <c r="B109" s="6" t="s">
        <v>43</v>
      </c>
      <c r="C109" s="6" t="s">
        <v>44</v>
      </c>
      <c r="D109" s="6">
        <v>2019</v>
      </c>
      <c r="E109" s="6" t="s">
        <v>40</v>
      </c>
      <c r="F109" s="6" t="s">
        <v>19</v>
      </c>
      <c r="G109" s="6" t="s">
        <v>14</v>
      </c>
      <c r="H109" s="7">
        <v>68415</v>
      </c>
      <c r="I109" s="7" t="str">
        <f t="shared" si="2"/>
        <v>80k-90k</v>
      </c>
      <c r="J109" s="6">
        <v>14</v>
      </c>
      <c r="K109" s="8">
        <f t="shared" si="3"/>
        <v>957810</v>
      </c>
      <c r="L109" s="6" t="s">
        <v>36</v>
      </c>
    </row>
    <row r="110" spans="1:12" x14ac:dyDescent="0.3">
      <c r="A110" s="6" t="s">
        <v>160</v>
      </c>
      <c r="B110" s="6" t="s">
        <v>10</v>
      </c>
      <c r="C110" s="6" t="s">
        <v>30</v>
      </c>
      <c r="D110" s="6">
        <v>2022</v>
      </c>
      <c r="E110" s="6" t="s">
        <v>31</v>
      </c>
      <c r="F110" s="6" t="s">
        <v>19</v>
      </c>
      <c r="G110" s="6" t="s">
        <v>20</v>
      </c>
      <c r="H110" s="7">
        <v>97204.59</v>
      </c>
      <c r="I110" s="7" t="str">
        <f t="shared" si="2"/>
        <v>90k-1L</v>
      </c>
      <c r="J110" s="6">
        <v>0</v>
      </c>
      <c r="K110" s="8">
        <f t="shared" si="3"/>
        <v>0</v>
      </c>
      <c r="L110" s="6" t="s">
        <v>32</v>
      </c>
    </row>
    <row r="111" spans="1:12" x14ac:dyDescent="0.3">
      <c r="A111" s="6" t="s">
        <v>161</v>
      </c>
      <c r="B111" s="6" t="s">
        <v>22</v>
      </c>
      <c r="C111" s="6" t="s">
        <v>105</v>
      </c>
      <c r="D111" s="6">
        <v>2018</v>
      </c>
      <c r="E111" s="6" t="s">
        <v>40</v>
      </c>
      <c r="F111" s="6" t="s">
        <v>13</v>
      </c>
      <c r="G111" s="6" t="s">
        <v>20</v>
      </c>
      <c r="H111" s="7">
        <v>40546.31</v>
      </c>
      <c r="I111" s="7" t="str">
        <f t="shared" si="2"/>
        <v>80k-90k</v>
      </c>
      <c r="J111" s="6">
        <v>2</v>
      </c>
      <c r="K111" s="8">
        <f t="shared" si="3"/>
        <v>81092.62</v>
      </c>
      <c r="L111" s="6" t="s">
        <v>15</v>
      </c>
    </row>
    <row r="112" spans="1:12" x14ac:dyDescent="0.3">
      <c r="A112" s="6" t="s">
        <v>162</v>
      </c>
      <c r="B112" s="6" t="s">
        <v>70</v>
      </c>
      <c r="C112" s="6" t="s">
        <v>71</v>
      </c>
      <c r="D112" s="6">
        <v>2016</v>
      </c>
      <c r="E112" s="6" t="s">
        <v>55</v>
      </c>
      <c r="F112" s="6" t="s">
        <v>13</v>
      </c>
      <c r="G112" s="6" t="s">
        <v>14</v>
      </c>
      <c r="H112" s="7">
        <v>96742.24</v>
      </c>
      <c r="I112" s="7" t="str">
        <f t="shared" si="2"/>
        <v>90k-1L</v>
      </c>
      <c r="J112" s="6">
        <v>17</v>
      </c>
      <c r="K112" s="8">
        <f t="shared" si="3"/>
        <v>1644618.08</v>
      </c>
      <c r="L112" s="6" t="s">
        <v>36</v>
      </c>
    </row>
    <row r="113" spans="1:12" x14ac:dyDescent="0.3">
      <c r="A113" s="6" t="s">
        <v>163</v>
      </c>
      <c r="B113" s="6" t="s">
        <v>22</v>
      </c>
      <c r="C113" s="6" t="s">
        <v>53</v>
      </c>
      <c r="D113" s="6">
        <v>2021</v>
      </c>
      <c r="E113" s="6" t="s">
        <v>12</v>
      </c>
      <c r="F113" s="6" t="s">
        <v>28</v>
      </c>
      <c r="G113" s="6" t="s">
        <v>20</v>
      </c>
      <c r="H113" s="7">
        <v>46778.03</v>
      </c>
      <c r="I113" s="7" t="str">
        <f t="shared" si="2"/>
        <v>80k-90k</v>
      </c>
      <c r="J113" s="6">
        <v>10</v>
      </c>
      <c r="K113" s="8">
        <f t="shared" si="3"/>
        <v>467780.3</v>
      </c>
      <c r="L113" s="6" t="s">
        <v>36</v>
      </c>
    </row>
    <row r="114" spans="1:12" x14ac:dyDescent="0.3">
      <c r="A114" s="6" t="s">
        <v>164</v>
      </c>
      <c r="B114" s="6" t="s">
        <v>10</v>
      </c>
      <c r="C114" s="6" t="s">
        <v>30</v>
      </c>
      <c r="D114" s="6">
        <v>2024</v>
      </c>
      <c r="E114" s="6" t="s">
        <v>31</v>
      </c>
      <c r="F114" s="6" t="s">
        <v>35</v>
      </c>
      <c r="G114" s="6" t="s">
        <v>14</v>
      </c>
      <c r="H114" s="7">
        <v>35194.67</v>
      </c>
      <c r="I114" s="7" t="str">
        <f t="shared" si="2"/>
        <v>80k-90k</v>
      </c>
      <c r="J114" s="6">
        <v>6</v>
      </c>
      <c r="K114" s="8">
        <f t="shared" si="3"/>
        <v>211168.02</v>
      </c>
      <c r="L114" s="6" t="s">
        <v>15</v>
      </c>
    </row>
    <row r="115" spans="1:12" x14ac:dyDescent="0.3">
      <c r="A115" s="6" t="s">
        <v>165</v>
      </c>
      <c r="B115" s="6" t="s">
        <v>26</v>
      </c>
      <c r="C115" s="6" t="s">
        <v>74</v>
      </c>
      <c r="D115" s="6">
        <v>2024</v>
      </c>
      <c r="E115" s="6" t="s">
        <v>24</v>
      </c>
      <c r="F115" s="6" t="s">
        <v>28</v>
      </c>
      <c r="G115" s="6" t="s">
        <v>20</v>
      </c>
      <c r="H115" s="7">
        <v>63367.44</v>
      </c>
      <c r="I115" s="7" t="str">
        <f t="shared" si="2"/>
        <v>80k-90k</v>
      </c>
      <c r="J115" s="6">
        <v>16</v>
      </c>
      <c r="K115" s="8">
        <f t="shared" si="3"/>
        <v>1013879.04</v>
      </c>
      <c r="L115" s="6" t="s">
        <v>15</v>
      </c>
    </row>
    <row r="116" spans="1:12" x14ac:dyDescent="0.3">
      <c r="A116" s="6" t="s">
        <v>166</v>
      </c>
      <c r="B116" s="6" t="s">
        <v>17</v>
      </c>
      <c r="C116" s="6" t="s">
        <v>62</v>
      </c>
      <c r="D116" s="6">
        <v>2015</v>
      </c>
      <c r="E116" s="6" t="s">
        <v>12</v>
      </c>
      <c r="F116" s="6" t="s">
        <v>19</v>
      </c>
      <c r="G116" s="6" t="s">
        <v>20</v>
      </c>
      <c r="H116" s="7">
        <v>98105.600000000006</v>
      </c>
      <c r="I116" s="7" t="str">
        <f t="shared" si="2"/>
        <v>90k-1L</v>
      </c>
      <c r="J116" s="6">
        <v>17</v>
      </c>
      <c r="K116" s="8">
        <f t="shared" si="3"/>
        <v>1667795.2000000002</v>
      </c>
      <c r="L116" s="6" t="s">
        <v>36</v>
      </c>
    </row>
    <row r="117" spans="1:12" x14ac:dyDescent="0.3">
      <c r="A117" s="6" t="s">
        <v>167</v>
      </c>
      <c r="B117" s="6" t="s">
        <v>17</v>
      </c>
      <c r="C117" s="6" t="s">
        <v>62</v>
      </c>
      <c r="D117" s="6">
        <v>2020</v>
      </c>
      <c r="E117" s="6" t="s">
        <v>55</v>
      </c>
      <c r="F117" s="6" t="s">
        <v>13</v>
      </c>
      <c r="G117" s="6" t="s">
        <v>14</v>
      </c>
      <c r="H117" s="7">
        <v>43309.15</v>
      </c>
      <c r="I117" s="7" t="str">
        <f t="shared" si="2"/>
        <v>80k-90k</v>
      </c>
      <c r="J117" s="6">
        <v>0</v>
      </c>
      <c r="K117" s="8">
        <f t="shared" si="3"/>
        <v>0</v>
      </c>
      <c r="L117" s="6" t="s">
        <v>32</v>
      </c>
    </row>
    <row r="118" spans="1:12" x14ac:dyDescent="0.3">
      <c r="A118" s="6" t="s">
        <v>168</v>
      </c>
      <c r="B118" s="6" t="s">
        <v>10</v>
      </c>
      <c r="C118" s="6" t="s">
        <v>110</v>
      </c>
      <c r="D118" s="6">
        <v>2016</v>
      </c>
      <c r="E118" s="6" t="s">
        <v>40</v>
      </c>
      <c r="F118" s="6" t="s">
        <v>13</v>
      </c>
      <c r="G118" s="6" t="s">
        <v>20</v>
      </c>
      <c r="H118" s="7">
        <v>25746.43</v>
      </c>
      <c r="I118" s="7" t="str">
        <f t="shared" si="2"/>
        <v>80k-90k</v>
      </c>
      <c r="J118" s="6">
        <v>14</v>
      </c>
      <c r="K118" s="8">
        <f t="shared" si="3"/>
        <v>360450.02</v>
      </c>
      <c r="L118" s="6" t="s">
        <v>32</v>
      </c>
    </row>
    <row r="119" spans="1:12" x14ac:dyDescent="0.3">
      <c r="A119" s="6" t="s">
        <v>169</v>
      </c>
      <c r="B119" s="6" t="s">
        <v>43</v>
      </c>
      <c r="C119" s="6" t="s">
        <v>93</v>
      </c>
      <c r="D119" s="6">
        <v>2023</v>
      </c>
      <c r="E119" s="6" t="s">
        <v>12</v>
      </c>
      <c r="F119" s="6" t="s">
        <v>13</v>
      </c>
      <c r="G119" s="6" t="s">
        <v>14</v>
      </c>
      <c r="H119" s="7">
        <v>77133.350000000006</v>
      </c>
      <c r="I119" s="7" t="str">
        <f t="shared" si="2"/>
        <v>80k-90k</v>
      </c>
      <c r="J119" s="6">
        <v>13</v>
      </c>
      <c r="K119" s="8">
        <f t="shared" si="3"/>
        <v>1002733.55</v>
      </c>
      <c r="L119" s="6" t="s">
        <v>36</v>
      </c>
    </row>
    <row r="120" spans="1:12" x14ac:dyDescent="0.3">
      <c r="A120" s="6" t="s">
        <v>170</v>
      </c>
      <c r="B120" s="6" t="s">
        <v>38</v>
      </c>
      <c r="C120" s="6" t="s">
        <v>96</v>
      </c>
      <c r="D120" s="6">
        <v>2018</v>
      </c>
      <c r="E120" s="6" t="s">
        <v>55</v>
      </c>
      <c r="F120" s="6" t="s">
        <v>28</v>
      </c>
      <c r="G120" s="6" t="s">
        <v>20</v>
      </c>
      <c r="H120" s="7">
        <v>23200.240000000002</v>
      </c>
      <c r="I120" s="7" t="str">
        <f t="shared" si="2"/>
        <v>80k-90k</v>
      </c>
      <c r="J120" s="6">
        <v>17</v>
      </c>
      <c r="K120" s="8">
        <f t="shared" si="3"/>
        <v>394404.08</v>
      </c>
      <c r="L120" s="6" t="s">
        <v>15</v>
      </c>
    </row>
    <row r="121" spans="1:12" x14ac:dyDescent="0.3">
      <c r="A121" s="6" t="s">
        <v>171</v>
      </c>
      <c r="B121" s="6" t="s">
        <v>22</v>
      </c>
      <c r="C121" s="6" t="s">
        <v>23</v>
      </c>
      <c r="D121" s="6">
        <v>2016</v>
      </c>
      <c r="E121" s="6" t="s">
        <v>55</v>
      </c>
      <c r="F121" s="6" t="s">
        <v>13</v>
      </c>
      <c r="G121" s="6" t="s">
        <v>20</v>
      </c>
      <c r="H121" s="7">
        <v>56469.05</v>
      </c>
      <c r="I121" s="7" t="str">
        <f t="shared" si="2"/>
        <v>80k-90k</v>
      </c>
      <c r="J121" s="6">
        <v>2</v>
      </c>
      <c r="K121" s="8">
        <f t="shared" si="3"/>
        <v>112938.1</v>
      </c>
      <c r="L121" s="6" t="s">
        <v>32</v>
      </c>
    </row>
    <row r="122" spans="1:12" x14ac:dyDescent="0.3">
      <c r="A122" s="6" t="s">
        <v>172</v>
      </c>
      <c r="B122" s="6" t="s">
        <v>22</v>
      </c>
      <c r="C122" s="6" t="s">
        <v>105</v>
      </c>
      <c r="D122" s="6">
        <v>2022</v>
      </c>
      <c r="E122" s="6" t="s">
        <v>48</v>
      </c>
      <c r="F122" s="6" t="s">
        <v>35</v>
      </c>
      <c r="G122" s="6" t="s">
        <v>20</v>
      </c>
      <c r="H122" s="7">
        <v>62501.37</v>
      </c>
      <c r="I122" s="7" t="str">
        <f t="shared" si="2"/>
        <v>80k-90k</v>
      </c>
      <c r="J122" s="6">
        <v>20</v>
      </c>
      <c r="K122" s="8">
        <f t="shared" si="3"/>
        <v>1250027.4000000001</v>
      </c>
      <c r="L122" s="6" t="s">
        <v>32</v>
      </c>
    </row>
    <row r="123" spans="1:12" x14ac:dyDescent="0.3">
      <c r="A123" s="6" t="s">
        <v>173</v>
      </c>
      <c r="B123" s="6" t="s">
        <v>17</v>
      </c>
      <c r="C123" s="6" t="s">
        <v>18</v>
      </c>
      <c r="D123" s="6">
        <v>2018</v>
      </c>
      <c r="E123" s="6" t="s">
        <v>24</v>
      </c>
      <c r="F123" s="6" t="s">
        <v>13</v>
      </c>
      <c r="G123" s="6" t="s">
        <v>20</v>
      </c>
      <c r="H123" s="7">
        <v>85848.09</v>
      </c>
      <c r="I123" s="7" t="str">
        <f t="shared" si="2"/>
        <v>80k-90k</v>
      </c>
      <c r="J123" s="6">
        <v>20</v>
      </c>
      <c r="K123" s="8">
        <f t="shared" si="3"/>
        <v>1716961.7999999998</v>
      </c>
      <c r="L123" s="6" t="s">
        <v>15</v>
      </c>
    </row>
    <row r="124" spans="1:12" x14ac:dyDescent="0.3">
      <c r="A124" s="6" t="s">
        <v>174</v>
      </c>
      <c r="B124" s="6" t="s">
        <v>38</v>
      </c>
      <c r="C124" s="6" t="s">
        <v>65</v>
      </c>
      <c r="D124" s="6">
        <v>2021</v>
      </c>
      <c r="E124" s="6" t="s">
        <v>31</v>
      </c>
      <c r="F124" s="6" t="s">
        <v>13</v>
      </c>
      <c r="G124" s="6" t="s">
        <v>14</v>
      </c>
      <c r="H124" s="7">
        <v>23630.560000000001</v>
      </c>
      <c r="I124" s="7" t="str">
        <f t="shared" si="2"/>
        <v>80k-90k</v>
      </c>
      <c r="J124" s="6">
        <v>19</v>
      </c>
      <c r="K124" s="8">
        <f t="shared" si="3"/>
        <v>448980.64</v>
      </c>
      <c r="L124" s="6" t="s">
        <v>32</v>
      </c>
    </row>
    <row r="125" spans="1:12" x14ac:dyDescent="0.3">
      <c r="A125" s="6" t="s">
        <v>175</v>
      </c>
      <c r="B125" s="6" t="s">
        <v>22</v>
      </c>
      <c r="C125" s="6" t="s">
        <v>105</v>
      </c>
      <c r="D125" s="6">
        <v>2015</v>
      </c>
      <c r="E125" s="6" t="s">
        <v>24</v>
      </c>
      <c r="F125" s="6" t="s">
        <v>35</v>
      </c>
      <c r="G125" s="6" t="s">
        <v>20</v>
      </c>
      <c r="H125" s="7">
        <v>44875.07</v>
      </c>
      <c r="I125" s="7" t="str">
        <f t="shared" si="2"/>
        <v>80k-90k</v>
      </c>
      <c r="J125" s="6">
        <v>18</v>
      </c>
      <c r="K125" s="8">
        <f t="shared" si="3"/>
        <v>807751.26</v>
      </c>
      <c r="L125" s="6" t="s">
        <v>32</v>
      </c>
    </row>
    <row r="126" spans="1:12" x14ac:dyDescent="0.3">
      <c r="A126" s="6" t="s">
        <v>176</v>
      </c>
      <c r="B126" s="6" t="s">
        <v>17</v>
      </c>
      <c r="C126" s="6" t="s">
        <v>46</v>
      </c>
      <c r="D126" s="6">
        <v>2017</v>
      </c>
      <c r="E126" s="6" t="s">
        <v>48</v>
      </c>
      <c r="F126" s="6" t="s">
        <v>19</v>
      </c>
      <c r="G126" s="6" t="s">
        <v>14</v>
      </c>
      <c r="H126" s="7">
        <v>35200.68</v>
      </c>
      <c r="I126" s="7" t="str">
        <f t="shared" si="2"/>
        <v>80k-90k</v>
      </c>
      <c r="J126" s="6">
        <v>9</v>
      </c>
      <c r="K126" s="8">
        <f t="shared" si="3"/>
        <v>316806.12</v>
      </c>
      <c r="L126" s="6" t="s">
        <v>15</v>
      </c>
    </row>
    <row r="127" spans="1:12" x14ac:dyDescent="0.3">
      <c r="A127" s="6" t="s">
        <v>177</v>
      </c>
      <c r="B127" s="6" t="s">
        <v>22</v>
      </c>
      <c r="C127" s="6" t="s">
        <v>105</v>
      </c>
      <c r="D127" s="6">
        <v>2024</v>
      </c>
      <c r="E127" s="6" t="s">
        <v>31</v>
      </c>
      <c r="F127" s="6" t="s">
        <v>19</v>
      </c>
      <c r="G127" s="6" t="s">
        <v>14</v>
      </c>
      <c r="H127" s="7">
        <v>67563.87</v>
      </c>
      <c r="I127" s="7" t="str">
        <f t="shared" si="2"/>
        <v>80k-90k</v>
      </c>
      <c r="J127" s="6">
        <v>2</v>
      </c>
      <c r="K127" s="8">
        <f t="shared" si="3"/>
        <v>135127.74</v>
      </c>
      <c r="L127" s="6" t="s">
        <v>36</v>
      </c>
    </row>
    <row r="128" spans="1:12" x14ac:dyDescent="0.3">
      <c r="A128" s="6" t="s">
        <v>178</v>
      </c>
      <c r="B128" s="6" t="s">
        <v>10</v>
      </c>
      <c r="C128" s="6" t="s">
        <v>11</v>
      </c>
      <c r="D128" s="6">
        <v>2025</v>
      </c>
      <c r="E128" s="6" t="s">
        <v>12</v>
      </c>
      <c r="F128" s="6" t="s">
        <v>35</v>
      </c>
      <c r="G128" s="6" t="s">
        <v>20</v>
      </c>
      <c r="H128" s="7">
        <v>93219.23</v>
      </c>
      <c r="I128" s="7" t="str">
        <f t="shared" si="2"/>
        <v>90k-1L</v>
      </c>
      <c r="J128" s="6">
        <v>3</v>
      </c>
      <c r="K128" s="8">
        <f t="shared" si="3"/>
        <v>279657.69</v>
      </c>
      <c r="L128" s="6" t="s">
        <v>32</v>
      </c>
    </row>
    <row r="129" spans="1:12" x14ac:dyDescent="0.3">
      <c r="A129" s="6" t="s">
        <v>179</v>
      </c>
      <c r="B129" s="6" t="s">
        <v>70</v>
      </c>
      <c r="C129" s="6" t="s">
        <v>114</v>
      </c>
      <c r="D129" s="6">
        <v>2019</v>
      </c>
      <c r="E129" s="6" t="s">
        <v>40</v>
      </c>
      <c r="F129" s="6" t="s">
        <v>35</v>
      </c>
      <c r="G129" s="6" t="s">
        <v>20</v>
      </c>
      <c r="H129" s="7">
        <v>84135.49</v>
      </c>
      <c r="I129" s="7" t="str">
        <f t="shared" si="2"/>
        <v>80k-90k</v>
      </c>
      <c r="J129" s="6">
        <v>12</v>
      </c>
      <c r="K129" s="8">
        <f t="shared" si="3"/>
        <v>1009625.8800000001</v>
      </c>
      <c r="L129" s="6" t="s">
        <v>15</v>
      </c>
    </row>
    <row r="130" spans="1:12" x14ac:dyDescent="0.3">
      <c r="A130" s="6" t="s">
        <v>180</v>
      </c>
      <c r="B130" s="6" t="s">
        <v>70</v>
      </c>
      <c r="C130" s="6" t="s">
        <v>71</v>
      </c>
      <c r="D130" s="6">
        <v>2016</v>
      </c>
      <c r="E130" s="6" t="s">
        <v>24</v>
      </c>
      <c r="F130" s="6" t="s">
        <v>28</v>
      </c>
      <c r="G130" s="6" t="s">
        <v>14</v>
      </c>
      <c r="H130" s="7">
        <v>95882.76</v>
      </c>
      <c r="I130" s="7" t="str">
        <f t="shared" ref="I130:I193" si="4">IF(H130&lt;90000,"80k-90k",IF(H130&lt;100000,"90k-1L","1L+"))</f>
        <v>90k-1L</v>
      </c>
      <c r="J130" s="6">
        <v>15</v>
      </c>
      <c r="K130" s="8">
        <f t="shared" ref="K130:K193" si="5">PRODUCT(H130*J130)</f>
        <v>1438241.4</v>
      </c>
      <c r="L130" s="6" t="s">
        <v>32</v>
      </c>
    </row>
    <row r="131" spans="1:12" x14ac:dyDescent="0.3">
      <c r="A131" s="6" t="s">
        <v>181</v>
      </c>
      <c r="B131" s="6" t="s">
        <v>38</v>
      </c>
      <c r="C131" s="6" t="s">
        <v>96</v>
      </c>
      <c r="D131" s="6">
        <v>2021</v>
      </c>
      <c r="E131" s="6" t="s">
        <v>31</v>
      </c>
      <c r="F131" s="6" t="s">
        <v>28</v>
      </c>
      <c r="G131" s="6" t="s">
        <v>14</v>
      </c>
      <c r="H131" s="7">
        <v>48149.33</v>
      </c>
      <c r="I131" s="7" t="str">
        <f t="shared" si="4"/>
        <v>80k-90k</v>
      </c>
      <c r="J131" s="6">
        <v>6</v>
      </c>
      <c r="K131" s="8">
        <f t="shared" si="5"/>
        <v>288895.98</v>
      </c>
      <c r="L131" s="6" t="s">
        <v>15</v>
      </c>
    </row>
    <row r="132" spans="1:12" x14ac:dyDescent="0.3">
      <c r="A132" s="6" t="s">
        <v>182</v>
      </c>
      <c r="B132" s="6" t="s">
        <v>10</v>
      </c>
      <c r="C132" s="6" t="s">
        <v>30</v>
      </c>
      <c r="D132" s="6">
        <v>2025</v>
      </c>
      <c r="E132" s="6" t="s">
        <v>24</v>
      </c>
      <c r="F132" s="6" t="s">
        <v>19</v>
      </c>
      <c r="G132" s="6" t="s">
        <v>14</v>
      </c>
      <c r="H132" s="7">
        <v>61924.42</v>
      </c>
      <c r="I132" s="7" t="str">
        <f t="shared" si="4"/>
        <v>80k-90k</v>
      </c>
      <c r="J132" s="6">
        <v>9</v>
      </c>
      <c r="K132" s="8">
        <f t="shared" si="5"/>
        <v>557319.78</v>
      </c>
      <c r="L132" s="6" t="s">
        <v>36</v>
      </c>
    </row>
    <row r="133" spans="1:12" x14ac:dyDescent="0.3">
      <c r="A133" s="6" t="s">
        <v>183</v>
      </c>
      <c r="B133" s="6" t="s">
        <v>26</v>
      </c>
      <c r="C133" s="6" t="s">
        <v>27</v>
      </c>
      <c r="D133" s="6">
        <v>2022</v>
      </c>
      <c r="E133" s="6" t="s">
        <v>48</v>
      </c>
      <c r="F133" s="6" t="s">
        <v>19</v>
      </c>
      <c r="G133" s="6" t="s">
        <v>14</v>
      </c>
      <c r="H133" s="7">
        <v>58245.71</v>
      </c>
      <c r="I133" s="7" t="str">
        <f t="shared" si="4"/>
        <v>80k-90k</v>
      </c>
      <c r="J133" s="6">
        <v>19</v>
      </c>
      <c r="K133" s="8">
        <f t="shared" si="5"/>
        <v>1106668.49</v>
      </c>
      <c r="L133" s="6" t="s">
        <v>32</v>
      </c>
    </row>
    <row r="134" spans="1:12" x14ac:dyDescent="0.3">
      <c r="A134" s="6" t="s">
        <v>184</v>
      </c>
      <c r="B134" s="6" t="s">
        <v>70</v>
      </c>
      <c r="C134" s="6" t="s">
        <v>71</v>
      </c>
      <c r="D134" s="6">
        <v>2020</v>
      </c>
      <c r="E134" s="6" t="s">
        <v>55</v>
      </c>
      <c r="F134" s="6" t="s">
        <v>35</v>
      </c>
      <c r="G134" s="6" t="s">
        <v>20</v>
      </c>
      <c r="H134" s="7">
        <v>20192.759999999998</v>
      </c>
      <c r="I134" s="7" t="str">
        <f t="shared" si="4"/>
        <v>80k-90k</v>
      </c>
      <c r="J134" s="6">
        <v>7</v>
      </c>
      <c r="K134" s="8">
        <f t="shared" si="5"/>
        <v>141349.31999999998</v>
      </c>
      <c r="L134" s="6" t="s">
        <v>32</v>
      </c>
    </row>
    <row r="135" spans="1:12" x14ac:dyDescent="0.3">
      <c r="A135" s="6" t="s">
        <v>185</v>
      </c>
      <c r="B135" s="6" t="s">
        <v>10</v>
      </c>
      <c r="C135" s="6" t="s">
        <v>11</v>
      </c>
      <c r="D135" s="6">
        <v>2016</v>
      </c>
      <c r="E135" s="6" t="s">
        <v>40</v>
      </c>
      <c r="F135" s="6" t="s">
        <v>35</v>
      </c>
      <c r="G135" s="6" t="s">
        <v>14</v>
      </c>
      <c r="H135" s="7">
        <v>51529.96</v>
      </c>
      <c r="I135" s="7" t="str">
        <f t="shared" si="4"/>
        <v>80k-90k</v>
      </c>
      <c r="J135" s="6">
        <v>8</v>
      </c>
      <c r="K135" s="8">
        <f t="shared" si="5"/>
        <v>412239.68</v>
      </c>
      <c r="L135" s="6" t="s">
        <v>36</v>
      </c>
    </row>
    <row r="136" spans="1:12" x14ac:dyDescent="0.3">
      <c r="A136" s="6" t="s">
        <v>186</v>
      </c>
      <c r="B136" s="6" t="s">
        <v>38</v>
      </c>
      <c r="C136" s="6" t="s">
        <v>39</v>
      </c>
      <c r="D136" s="6">
        <v>2015</v>
      </c>
      <c r="E136" s="6" t="s">
        <v>31</v>
      </c>
      <c r="F136" s="6" t="s">
        <v>28</v>
      </c>
      <c r="G136" s="6" t="s">
        <v>14</v>
      </c>
      <c r="H136" s="7">
        <v>55815.59</v>
      </c>
      <c r="I136" s="7" t="str">
        <f t="shared" si="4"/>
        <v>80k-90k</v>
      </c>
      <c r="J136" s="6">
        <v>5</v>
      </c>
      <c r="K136" s="8">
        <f t="shared" si="5"/>
        <v>279077.94999999995</v>
      </c>
      <c r="L136" s="6" t="s">
        <v>36</v>
      </c>
    </row>
    <row r="137" spans="1:12" x14ac:dyDescent="0.3">
      <c r="A137" s="6" t="s">
        <v>187</v>
      </c>
      <c r="B137" s="6" t="s">
        <v>43</v>
      </c>
      <c r="C137" s="6" t="s">
        <v>44</v>
      </c>
      <c r="D137" s="6">
        <v>2019</v>
      </c>
      <c r="E137" s="6" t="s">
        <v>40</v>
      </c>
      <c r="F137" s="6" t="s">
        <v>13</v>
      </c>
      <c r="G137" s="6" t="s">
        <v>20</v>
      </c>
      <c r="H137" s="7">
        <v>84503.94</v>
      </c>
      <c r="I137" s="7" t="str">
        <f t="shared" si="4"/>
        <v>80k-90k</v>
      </c>
      <c r="J137" s="6">
        <v>20</v>
      </c>
      <c r="K137" s="8">
        <f t="shared" si="5"/>
        <v>1690078.8</v>
      </c>
      <c r="L137" s="6" t="s">
        <v>36</v>
      </c>
    </row>
    <row r="138" spans="1:12" x14ac:dyDescent="0.3">
      <c r="A138" s="6" t="s">
        <v>188</v>
      </c>
      <c r="B138" s="6" t="s">
        <v>43</v>
      </c>
      <c r="C138" s="6" t="s">
        <v>93</v>
      </c>
      <c r="D138" s="6">
        <v>2016</v>
      </c>
      <c r="E138" s="6" t="s">
        <v>48</v>
      </c>
      <c r="F138" s="6" t="s">
        <v>13</v>
      </c>
      <c r="G138" s="6" t="s">
        <v>20</v>
      </c>
      <c r="H138" s="7">
        <v>49659.73</v>
      </c>
      <c r="I138" s="7" t="str">
        <f t="shared" si="4"/>
        <v>80k-90k</v>
      </c>
      <c r="J138" s="6">
        <v>12</v>
      </c>
      <c r="K138" s="8">
        <f t="shared" si="5"/>
        <v>595916.76</v>
      </c>
      <c r="L138" s="6" t="s">
        <v>36</v>
      </c>
    </row>
    <row r="139" spans="1:12" x14ac:dyDescent="0.3">
      <c r="A139" s="6" t="s">
        <v>189</v>
      </c>
      <c r="B139" s="6" t="s">
        <v>10</v>
      </c>
      <c r="C139" s="6" t="s">
        <v>11</v>
      </c>
      <c r="D139" s="6">
        <v>2024</v>
      </c>
      <c r="E139" s="6" t="s">
        <v>24</v>
      </c>
      <c r="F139" s="6" t="s">
        <v>28</v>
      </c>
      <c r="G139" s="6" t="s">
        <v>14</v>
      </c>
      <c r="H139" s="7">
        <v>71116.490000000005</v>
      </c>
      <c r="I139" s="7" t="str">
        <f t="shared" si="4"/>
        <v>80k-90k</v>
      </c>
      <c r="J139" s="6">
        <v>7</v>
      </c>
      <c r="K139" s="8">
        <f t="shared" si="5"/>
        <v>497815.43000000005</v>
      </c>
      <c r="L139" s="6" t="s">
        <v>36</v>
      </c>
    </row>
    <row r="140" spans="1:12" x14ac:dyDescent="0.3">
      <c r="A140" s="6" t="s">
        <v>190</v>
      </c>
      <c r="B140" s="6" t="s">
        <v>17</v>
      </c>
      <c r="C140" s="6" t="s">
        <v>18</v>
      </c>
      <c r="D140" s="6">
        <v>2019</v>
      </c>
      <c r="E140" s="6" t="s">
        <v>31</v>
      </c>
      <c r="F140" s="6" t="s">
        <v>35</v>
      </c>
      <c r="G140" s="6" t="s">
        <v>14</v>
      </c>
      <c r="H140" s="7">
        <v>63900.82</v>
      </c>
      <c r="I140" s="7" t="str">
        <f t="shared" si="4"/>
        <v>80k-90k</v>
      </c>
      <c r="J140" s="6">
        <v>13</v>
      </c>
      <c r="K140" s="8">
        <f t="shared" si="5"/>
        <v>830710.66</v>
      </c>
      <c r="L140" s="6" t="s">
        <v>15</v>
      </c>
    </row>
    <row r="141" spans="1:12" x14ac:dyDescent="0.3">
      <c r="A141" s="6" t="s">
        <v>191</v>
      </c>
      <c r="B141" s="6" t="s">
        <v>43</v>
      </c>
      <c r="C141" s="6" t="s">
        <v>93</v>
      </c>
      <c r="D141" s="6">
        <v>2025</v>
      </c>
      <c r="E141" s="6" t="s">
        <v>12</v>
      </c>
      <c r="F141" s="6" t="s">
        <v>28</v>
      </c>
      <c r="G141" s="6" t="s">
        <v>20</v>
      </c>
      <c r="H141" s="7">
        <v>22543.49</v>
      </c>
      <c r="I141" s="7" t="str">
        <f t="shared" si="4"/>
        <v>80k-90k</v>
      </c>
      <c r="J141" s="6">
        <v>11</v>
      </c>
      <c r="K141" s="8">
        <f t="shared" si="5"/>
        <v>247978.39</v>
      </c>
      <c r="L141" s="6" t="s">
        <v>36</v>
      </c>
    </row>
    <row r="142" spans="1:12" x14ac:dyDescent="0.3">
      <c r="A142" s="6" t="s">
        <v>192</v>
      </c>
      <c r="B142" s="6" t="s">
        <v>17</v>
      </c>
      <c r="C142" s="6" t="s">
        <v>62</v>
      </c>
      <c r="D142" s="6">
        <v>2022</v>
      </c>
      <c r="E142" s="6" t="s">
        <v>40</v>
      </c>
      <c r="F142" s="6" t="s">
        <v>19</v>
      </c>
      <c r="G142" s="6" t="s">
        <v>20</v>
      </c>
      <c r="H142" s="7">
        <v>49552.44</v>
      </c>
      <c r="I142" s="7" t="str">
        <f t="shared" si="4"/>
        <v>80k-90k</v>
      </c>
      <c r="J142" s="6">
        <v>8</v>
      </c>
      <c r="K142" s="8">
        <f t="shared" si="5"/>
        <v>396419.52</v>
      </c>
      <c r="L142" s="6" t="s">
        <v>32</v>
      </c>
    </row>
    <row r="143" spans="1:12" x14ac:dyDescent="0.3">
      <c r="A143" s="6" t="s">
        <v>193</v>
      </c>
      <c r="B143" s="6" t="s">
        <v>26</v>
      </c>
      <c r="C143" s="6" t="s">
        <v>74</v>
      </c>
      <c r="D143" s="6">
        <v>2016</v>
      </c>
      <c r="E143" s="6" t="s">
        <v>24</v>
      </c>
      <c r="F143" s="6" t="s">
        <v>35</v>
      </c>
      <c r="G143" s="6" t="s">
        <v>14</v>
      </c>
      <c r="H143" s="7">
        <v>39878.32</v>
      </c>
      <c r="I143" s="7" t="str">
        <f t="shared" si="4"/>
        <v>80k-90k</v>
      </c>
      <c r="J143" s="6">
        <v>5</v>
      </c>
      <c r="K143" s="8">
        <f t="shared" si="5"/>
        <v>199391.6</v>
      </c>
      <c r="L143" s="6" t="s">
        <v>15</v>
      </c>
    </row>
    <row r="144" spans="1:12" x14ac:dyDescent="0.3">
      <c r="A144" s="6" t="s">
        <v>194</v>
      </c>
      <c r="B144" s="6" t="s">
        <v>43</v>
      </c>
      <c r="C144" s="6" t="s">
        <v>93</v>
      </c>
      <c r="D144" s="6">
        <v>2019</v>
      </c>
      <c r="E144" s="6" t="s">
        <v>12</v>
      </c>
      <c r="F144" s="6" t="s">
        <v>19</v>
      </c>
      <c r="G144" s="6" t="s">
        <v>20</v>
      </c>
      <c r="H144" s="7">
        <v>97300.14</v>
      </c>
      <c r="I144" s="7" t="str">
        <f t="shared" si="4"/>
        <v>90k-1L</v>
      </c>
      <c r="J144" s="6">
        <v>4</v>
      </c>
      <c r="K144" s="8">
        <f t="shared" si="5"/>
        <v>389200.56</v>
      </c>
      <c r="L144" s="6" t="s">
        <v>36</v>
      </c>
    </row>
    <row r="145" spans="1:12" x14ac:dyDescent="0.3">
      <c r="A145" s="6" t="s">
        <v>195</v>
      </c>
      <c r="B145" s="6" t="s">
        <v>43</v>
      </c>
      <c r="C145" s="6" t="s">
        <v>91</v>
      </c>
      <c r="D145" s="6">
        <v>2021</v>
      </c>
      <c r="E145" s="6" t="s">
        <v>55</v>
      </c>
      <c r="F145" s="6" t="s">
        <v>19</v>
      </c>
      <c r="G145" s="6" t="s">
        <v>14</v>
      </c>
      <c r="H145" s="7">
        <v>71068.19</v>
      </c>
      <c r="I145" s="7" t="str">
        <f t="shared" si="4"/>
        <v>80k-90k</v>
      </c>
      <c r="J145" s="6">
        <v>7</v>
      </c>
      <c r="K145" s="8">
        <f t="shared" si="5"/>
        <v>497477.33</v>
      </c>
      <c r="L145" s="6" t="s">
        <v>36</v>
      </c>
    </row>
    <row r="146" spans="1:12" x14ac:dyDescent="0.3">
      <c r="A146" s="6" t="s">
        <v>196</v>
      </c>
      <c r="B146" s="6" t="s">
        <v>38</v>
      </c>
      <c r="C146" s="6" t="s">
        <v>39</v>
      </c>
      <c r="D146" s="6">
        <v>2019</v>
      </c>
      <c r="E146" s="6" t="s">
        <v>24</v>
      </c>
      <c r="F146" s="6" t="s">
        <v>13</v>
      </c>
      <c r="G146" s="6" t="s">
        <v>20</v>
      </c>
      <c r="H146" s="7">
        <v>89690.07</v>
      </c>
      <c r="I146" s="7" t="str">
        <f t="shared" si="4"/>
        <v>80k-90k</v>
      </c>
      <c r="J146" s="6">
        <v>10</v>
      </c>
      <c r="K146" s="8">
        <f t="shared" si="5"/>
        <v>896900.70000000007</v>
      </c>
      <c r="L146" s="6" t="s">
        <v>36</v>
      </c>
    </row>
    <row r="147" spans="1:12" x14ac:dyDescent="0.3">
      <c r="A147" s="6" t="s">
        <v>197</v>
      </c>
      <c r="B147" s="6" t="s">
        <v>70</v>
      </c>
      <c r="C147" s="6" t="s">
        <v>114</v>
      </c>
      <c r="D147" s="6">
        <v>2024</v>
      </c>
      <c r="E147" s="6" t="s">
        <v>31</v>
      </c>
      <c r="F147" s="6" t="s">
        <v>13</v>
      </c>
      <c r="G147" s="6" t="s">
        <v>20</v>
      </c>
      <c r="H147" s="7">
        <v>32150.03</v>
      </c>
      <c r="I147" s="7" t="str">
        <f t="shared" si="4"/>
        <v>80k-90k</v>
      </c>
      <c r="J147" s="6">
        <v>14</v>
      </c>
      <c r="K147" s="8">
        <f t="shared" si="5"/>
        <v>450100.42</v>
      </c>
      <c r="L147" s="6" t="s">
        <v>32</v>
      </c>
    </row>
    <row r="148" spans="1:12" x14ac:dyDescent="0.3">
      <c r="A148" s="6" t="s">
        <v>198</v>
      </c>
      <c r="B148" s="6" t="s">
        <v>38</v>
      </c>
      <c r="C148" s="6" t="s">
        <v>96</v>
      </c>
      <c r="D148" s="6">
        <v>2018</v>
      </c>
      <c r="E148" s="6" t="s">
        <v>31</v>
      </c>
      <c r="F148" s="6" t="s">
        <v>19</v>
      </c>
      <c r="G148" s="6" t="s">
        <v>14</v>
      </c>
      <c r="H148" s="7">
        <v>40101.919999999998</v>
      </c>
      <c r="I148" s="7" t="str">
        <f t="shared" si="4"/>
        <v>80k-90k</v>
      </c>
      <c r="J148" s="6">
        <v>13</v>
      </c>
      <c r="K148" s="8">
        <f t="shared" si="5"/>
        <v>521324.95999999996</v>
      </c>
      <c r="L148" s="6" t="s">
        <v>15</v>
      </c>
    </row>
    <row r="149" spans="1:12" x14ac:dyDescent="0.3">
      <c r="A149" s="6" t="s">
        <v>199</v>
      </c>
      <c r="B149" s="6" t="s">
        <v>10</v>
      </c>
      <c r="C149" s="6" t="s">
        <v>30</v>
      </c>
      <c r="D149" s="6">
        <v>2015</v>
      </c>
      <c r="E149" s="6" t="s">
        <v>40</v>
      </c>
      <c r="F149" s="6" t="s">
        <v>35</v>
      </c>
      <c r="G149" s="6" t="s">
        <v>20</v>
      </c>
      <c r="H149" s="7">
        <v>60714.01</v>
      </c>
      <c r="I149" s="7" t="str">
        <f t="shared" si="4"/>
        <v>80k-90k</v>
      </c>
      <c r="J149" s="6">
        <v>13</v>
      </c>
      <c r="K149" s="8">
        <f t="shared" si="5"/>
        <v>789282.13</v>
      </c>
      <c r="L149" s="6" t="s">
        <v>32</v>
      </c>
    </row>
    <row r="150" spans="1:12" x14ac:dyDescent="0.3">
      <c r="A150" s="6" t="s">
        <v>200</v>
      </c>
      <c r="B150" s="6" t="s">
        <v>22</v>
      </c>
      <c r="C150" s="6" t="s">
        <v>105</v>
      </c>
      <c r="D150" s="6">
        <v>2016</v>
      </c>
      <c r="E150" s="6" t="s">
        <v>31</v>
      </c>
      <c r="F150" s="6" t="s">
        <v>35</v>
      </c>
      <c r="G150" s="6" t="s">
        <v>20</v>
      </c>
      <c r="H150" s="7">
        <v>89010.17</v>
      </c>
      <c r="I150" s="7" t="str">
        <f t="shared" si="4"/>
        <v>80k-90k</v>
      </c>
      <c r="J150" s="6">
        <v>18</v>
      </c>
      <c r="K150" s="8">
        <f t="shared" si="5"/>
        <v>1602183.06</v>
      </c>
      <c r="L150" s="6" t="s">
        <v>15</v>
      </c>
    </row>
    <row r="151" spans="1:12" x14ac:dyDescent="0.3">
      <c r="A151" s="6" t="s">
        <v>201</v>
      </c>
      <c r="B151" s="6" t="s">
        <v>26</v>
      </c>
      <c r="C151" s="6" t="s">
        <v>74</v>
      </c>
      <c r="D151" s="6">
        <v>2017</v>
      </c>
      <c r="E151" s="6" t="s">
        <v>24</v>
      </c>
      <c r="F151" s="6" t="s">
        <v>13</v>
      </c>
      <c r="G151" s="6" t="s">
        <v>20</v>
      </c>
      <c r="H151" s="7">
        <v>78555.28</v>
      </c>
      <c r="I151" s="7" t="str">
        <f t="shared" si="4"/>
        <v>80k-90k</v>
      </c>
      <c r="J151" s="6">
        <v>10</v>
      </c>
      <c r="K151" s="8">
        <f t="shared" si="5"/>
        <v>785552.8</v>
      </c>
      <c r="L151" s="6" t="s">
        <v>15</v>
      </c>
    </row>
    <row r="152" spans="1:12" x14ac:dyDescent="0.3">
      <c r="A152" s="6" t="s">
        <v>202</v>
      </c>
      <c r="B152" s="6" t="s">
        <v>26</v>
      </c>
      <c r="C152" s="6" t="s">
        <v>27</v>
      </c>
      <c r="D152" s="6">
        <v>2017</v>
      </c>
      <c r="E152" s="6" t="s">
        <v>40</v>
      </c>
      <c r="F152" s="6" t="s">
        <v>13</v>
      </c>
      <c r="G152" s="6" t="s">
        <v>20</v>
      </c>
      <c r="H152" s="7">
        <v>44911.18</v>
      </c>
      <c r="I152" s="7" t="str">
        <f t="shared" si="4"/>
        <v>80k-90k</v>
      </c>
      <c r="J152" s="6">
        <v>6</v>
      </c>
      <c r="K152" s="8">
        <f t="shared" si="5"/>
        <v>269467.08</v>
      </c>
      <c r="L152" s="6" t="s">
        <v>36</v>
      </c>
    </row>
    <row r="153" spans="1:12" x14ac:dyDescent="0.3">
      <c r="A153" s="6" t="s">
        <v>203</v>
      </c>
      <c r="B153" s="6" t="s">
        <v>26</v>
      </c>
      <c r="C153" s="6" t="s">
        <v>34</v>
      </c>
      <c r="D153" s="6">
        <v>2022</v>
      </c>
      <c r="E153" s="6" t="s">
        <v>12</v>
      </c>
      <c r="F153" s="6" t="s">
        <v>28</v>
      </c>
      <c r="G153" s="6" t="s">
        <v>14</v>
      </c>
      <c r="H153" s="7">
        <v>18449.830000000002</v>
      </c>
      <c r="I153" s="7" t="str">
        <f t="shared" si="4"/>
        <v>80k-90k</v>
      </c>
      <c r="J153" s="6">
        <v>1</v>
      </c>
      <c r="K153" s="8">
        <f t="shared" si="5"/>
        <v>18449.830000000002</v>
      </c>
      <c r="L153" s="6" t="s">
        <v>36</v>
      </c>
    </row>
    <row r="154" spans="1:12" x14ac:dyDescent="0.3">
      <c r="A154" s="6" t="s">
        <v>204</v>
      </c>
      <c r="B154" s="6" t="s">
        <v>70</v>
      </c>
      <c r="C154" s="6" t="s">
        <v>80</v>
      </c>
      <c r="D154" s="6">
        <v>2016</v>
      </c>
      <c r="E154" s="6" t="s">
        <v>55</v>
      </c>
      <c r="F154" s="6" t="s">
        <v>28</v>
      </c>
      <c r="G154" s="6" t="s">
        <v>14</v>
      </c>
      <c r="H154" s="7">
        <v>86495.32</v>
      </c>
      <c r="I154" s="7" t="str">
        <f t="shared" si="4"/>
        <v>80k-90k</v>
      </c>
      <c r="J154" s="6">
        <v>15</v>
      </c>
      <c r="K154" s="8">
        <f t="shared" si="5"/>
        <v>1297429.8</v>
      </c>
      <c r="L154" s="6" t="s">
        <v>32</v>
      </c>
    </row>
    <row r="155" spans="1:12" x14ac:dyDescent="0.3">
      <c r="A155" s="6" t="s">
        <v>205</v>
      </c>
      <c r="B155" s="6" t="s">
        <v>17</v>
      </c>
      <c r="C155" s="6" t="s">
        <v>18</v>
      </c>
      <c r="D155" s="6">
        <v>2018</v>
      </c>
      <c r="E155" s="6" t="s">
        <v>48</v>
      </c>
      <c r="F155" s="6" t="s">
        <v>13</v>
      </c>
      <c r="G155" s="6" t="s">
        <v>20</v>
      </c>
      <c r="H155" s="7">
        <v>41195.199999999997</v>
      </c>
      <c r="I155" s="7" t="str">
        <f t="shared" si="4"/>
        <v>80k-90k</v>
      </c>
      <c r="J155" s="6">
        <v>19</v>
      </c>
      <c r="K155" s="8">
        <f t="shared" si="5"/>
        <v>782708.79999999993</v>
      </c>
      <c r="L155" s="6" t="s">
        <v>32</v>
      </c>
    </row>
    <row r="156" spans="1:12" x14ac:dyDescent="0.3">
      <c r="A156" s="6" t="s">
        <v>206</v>
      </c>
      <c r="B156" s="6" t="s">
        <v>38</v>
      </c>
      <c r="C156" s="6" t="s">
        <v>39</v>
      </c>
      <c r="D156" s="6">
        <v>2022</v>
      </c>
      <c r="E156" s="6" t="s">
        <v>24</v>
      </c>
      <c r="F156" s="6" t="s">
        <v>13</v>
      </c>
      <c r="G156" s="6" t="s">
        <v>14</v>
      </c>
      <c r="H156" s="7">
        <v>15064.15</v>
      </c>
      <c r="I156" s="7" t="str">
        <f t="shared" si="4"/>
        <v>80k-90k</v>
      </c>
      <c r="J156" s="6">
        <v>16</v>
      </c>
      <c r="K156" s="8">
        <f t="shared" si="5"/>
        <v>241026.4</v>
      </c>
      <c r="L156" s="6" t="s">
        <v>15</v>
      </c>
    </row>
    <row r="157" spans="1:12" x14ac:dyDescent="0.3">
      <c r="A157" s="6" t="s">
        <v>207</v>
      </c>
      <c r="B157" s="6" t="s">
        <v>26</v>
      </c>
      <c r="C157" s="6" t="s">
        <v>27</v>
      </c>
      <c r="D157" s="6">
        <v>2015</v>
      </c>
      <c r="E157" s="6" t="s">
        <v>40</v>
      </c>
      <c r="F157" s="6" t="s">
        <v>28</v>
      </c>
      <c r="G157" s="6" t="s">
        <v>20</v>
      </c>
      <c r="H157" s="7">
        <v>22779.54</v>
      </c>
      <c r="I157" s="7" t="str">
        <f t="shared" si="4"/>
        <v>80k-90k</v>
      </c>
      <c r="J157" s="6">
        <v>13</v>
      </c>
      <c r="K157" s="8">
        <f t="shared" si="5"/>
        <v>296134.02</v>
      </c>
      <c r="L157" s="6" t="s">
        <v>15</v>
      </c>
    </row>
    <row r="158" spans="1:12" x14ac:dyDescent="0.3">
      <c r="A158" s="6" t="s">
        <v>208</v>
      </c>
      <c r="B158" s="6" t="s">
        <v>38</v>
      </c>
      <c r="C158" s="6" t="s">
        <v>65</v>
      </c>
      <c r="D158" s="6">
        <v>2024</v>
      </c>
      <c r="E158" s="6" t="s">
        <v>48</v>
      </c>
      <c r="F158" s="6" t="s">
        <v>28</v>
      </c>
      <c r="G158" s="6" t="s">
        <v>20</v>
      </c>
      <c r="H158" s="7">
        <v>54478.11</v>
      </c>
      <c r="I158" s="7" t="str">
        <f t="shared" si="4"/>
        <v>80k-90k</v>
      </c>
      <c r="J158" s="6">
        <v>5</v>
      </c>
      <c r="K158" s="8">
        <f t="shared" si="5"/>
        <v>272390.55</v>
      </c>
      <c r="L158" s="6" t="s">
        <v>15</v>
      </c>
    </row>
    <row r="159" spans="1:12" x14ac:dyDescent="0.3">
      <c r="A159" s="6" t="s">
        <v>209</v>
      </c>
      <c r="B159" s="6" t="s">
        <v>26</v>
      </c>
      <c r="C159" s="6" t="s">
        <v>34</v>
      </c>
      <c r="D159" s="6">
        <v>2018</v>
      </c>
      <c r="E159" s="6" t="s">
        <v>31</v>
      </c>
      <c r="F159" s="6" t="s">
        <v>28</v>
      </c>
      <c r="G159" s="6" t="s">
        <v>20</v>
      </c>
      <c r="H159" s="7">
        <v>15564.23</v>
      </c>
      <c r="I159" s="7" t="str">
        <f t="shared" si="4"/>
        <v>80k-90k</v>
      </c>
      <c r="J159" s="6">
        <v>18</v>
      </c>
      <c r="K159" s="8">
        <f t="shared" si="5"/>
        <v>280156.14</v>
      </c>
      <c r="L159" s="6" t="s">
        <v>32</v>
      </c>
    </row>
    <row r="160" spans="1:12" x14ac:dyDescent="0.3">
      <c r="A160" s="6" t="s">
        <v>210</v>
      </c>
      <c r="B160" s="6" t="s">
        <v>10</v>
      </c>
      <c r="C160" s="6" t="s">
        <v>30</v>
      </c>
      <c r="D160" s="6">
        <v>2019</v>
      </c>
      <c r="E160" s="6" t="s">
        <v>55</v>
      </c>
      <c r="F160" s="6" t="s">
        <v>35</v>
      </c>
      <c r="G160" s="6" t="s">
        <v>14</v>
      </c>
      <c r="H160" s="7">
        <v>37017.339999999997</v>
      </c>
      <c r="I160" s="7" t="str">
        <f t="shared" si="4"/>
        <v>80k-90k</v>
      </c>
      <c r="J160" s="6">
        <v>6</v>
      </c>
      <c r="K160" s="8">
        <f t="shared" si="5"/>
        <v>222104.03999999998</v>
      </c>
      <c r="L160" s="6" t="s">
        <v>36</v>
      </c>
    </row>
    <row r="161" spans="1:12" x14ac:dyDescent="0.3">
      <c r="A161" s="6" t="s">
        <v>211</v>
      </c>
      <c r="B161" s="6" t="s">
        <v>43</v>
      </c>
      <c r="C161" s="6" t="s">
        <v>93</v>
      </c>
      <c r="D161" s="6">
        <v>2018</v>
      </c>
      <c r="E161" s="6" t="s">
        <v>12</v>
      </c>
      <c r="F161" s="6" t="s">
        <v>13</v>
      </c>
      <c r="G161" s="6" t="s">
        <v>20</v>
      </c>
      <c r="H161" s="7">
        <v>56409.55</v>
      </c>
      <c r="I161" s="7" t="str">
        <f t="shared" si="4"/>
        <v>80k-90k</v>
      </c>
      <c r="J161" s="6">
        <v>20</v>
      </c>
      <c r="K161" s="8">
        <f t="shared" si="5"/>
        <v>1128191</v>
      </c>
      <c r="L161" s="6" t="s">
        <v>36</v>
      </c>
    </row>
    <row r="162" spans="1:12" x14ac:dyDescent="0.3">
      <c r="A162" s="6" t="s">
        <v>212</v>
      </c>
      <c r="B162" s="6" t="s">
        <v>38</v>
      </c>
      <c r="C162" s="6" t="s">
        <v>39</v>
      </c>
      <c r="D162" s="6">
        <v>2016</v>
      </c>
      <c r="E162" s="6" t="s">
        <v>48</v>
      </c>
      <c r="F162" s="6" t="s">
        <v>13</v>
      </c>
      <c r="G162" s="6" t="s">
        <v>20</v>
      </c>
      <c r="H162" s="7">
        <v>26413.01</v>
      </c>
      <c r="I162" s="7" t="str">
        <f t="shared" si="4"/>
        <v>80k-90k</v>
      </c>
      <c r="J162" s="6">
        <v>8</v>
      </c>
      <c r="K162" s="8">
        <f t="shared" si="5"/>
        <v>211304.08</v>
      </c>
      <c r="L162" s="6" t="s">
        <v>32</v>
      </c>
    </row>
    <row r="163" spans="1:12" x14ac:dyDescent="0.3">
      <c r="A163" s="6" t="s">
        <v>213</v>
      </c>
      <c r="B163" s="6" t="s">
        <v>22</v>
      </c>
      <c r="C163" s="6" t="s">
        <v>23</v>
      </c>
      <c r="D163" s="6">
        <v>2015</v>
      </c>
      <c r="E163" s="6" t="s">
        <v>40</v>
      </c>
      <c r="F163" s="6" t="s">
        <v>19</v>
      </c>
      <c r="G163" s="6" t="s">
        <v>20</v>
      </c>
      <c r="H163" s="7">
        <v>53008.54</v>
      </c>
      <c r="I163" s="7" t="str">
        <f t="shared" si="4"/>
        <v>80k-90k</v>
      </c>
      <c r="J163" s="6">
        <v>7</v>
      </c>
      <c r="K163" s="8">
        <f t="shared" si="5"/>
        <v>371059.78</v>
      </c>
      <c r="L163" s="6" t="s">
        <v>15</v>
      </c>
    </row>
    <row r="164" spans="1:12" x14ac:dyDescent="0.3">
      <c r="A164" s="6" t="s">
        <v>214</v>
      </c>
      <c r="B164" s="6" t="s">
        <v>17</v>
      </c>
      <c r="C164" s="6" t="s">
        <v>62</v>
      </c>
      <c r="D164" s="6">
        <v>2020</v>
      </c>
      <c r="E164" s="6" t="s">
        <v>40</v>
      </c>
      <c r="F164" s="6" t="s">
        <v>35</v>
      </c>
      <c r="G164" s="6" t="s">
        <v>20</v>
      </c>
      <c r="H164" s="7">
        <v>46277.93</v>
      </c>
      <c r="I164" s="7" t="str">
        <f t="shared" si="4"/>
        <v>80k-90k</v>
      </c>
      <c r="J164" s="6">
        <v>17</v>
      </c>
      <c r="K164" s="8">
        <f t="shared" si="5"/>
        <v>786724.81</v>
      </c>
      <c r="L164" s="6" t="s">
        <v>32</v>
      </c>
    </row>
    <row r="165" spans="1:12" x14ac:dyDescent="0.3">
      <c r="A165" s="6" t="s">
        <v>215</v>
      </c>
      <c r="B165" s="6" t="s">
        <v>17</v>
      </c>
      <c r="C165" s="6" t="s">
        <v>46</v>
      </c>
      <c r="D165" s="6">
        <v>2023</v>
      </c>
      <c r="E165" s="6" t="s">
        <v>31</v>
      </c>
      <c r="F165" s="6" t="s">
        <v>13</v>
      </c>
      <c r="G165" s="6" t="s">
        <v>14</v>
      </c>
      <c r="H165" s="7">
        <v>42464.66</v>
      </c>
      <c r="I165" s="7" t="str">
        <f t="shared" si="4"/>
        <v>80k-90k</v>
      </c>
      <c r="J165" s="6">
        <v>3</v>
      </c>
      <c r="K165" s="8">
        <f t="shared" si="5"/>
        <v>127393.98000000001</v>
      </c>
      <c r="L165" s="6" t="s">
        <v>15</v>
      </c>
    </row>
    <row r="166" spans="1:12" x14ac:dyDescent="0.3">
      <c r="A166" s="6" t="s">
        <v>216</v>
      </c>
      <c r="B166" s="6" t="s">
        <v>17</v>
      </c>
      <c r="C166" s="6" t="s">
        <v>46</v>
      </c>
      <c r="D166" s="6">
        <v>2016</v>
      </c>
      <c r="E166" s="6" t="s">
        <v>40</v>
      </c>
      <c r="F166" s="6" t="s">
        <v>13</v>
      </c>
      <c r="G166" s="6" t="s">
        <v>20</v>
      </c>
      <c r="H166" s="7">
        <v>64280.26</v>
      </c>
      <c r="I166" s="7" t="str">
        <f t="shared" si="4"/>
        <v>80k-90k</v>
      </c>
      <c r="J166" s="6">
        <v>17</v>
      </c>
      <c r="K166" s="8">
        <f t="shared" si="5"/>
        <v>1092764.42</v>
      </c>
      <c r="L166" s="6" t="s">
        <v>32</v>
      </c>
    </row>
    <row r="167" spans="1:12" x14ac:dyDescent="0.3">
      <c r="A167" s="6" t="s">
        <v>217</v>
      </c>
      <c r="B167" s="6" t="s">
        <v>17</v>
      </c>
      <c r="C167" s="6" t="s">
        <v>62</v>
      </c>
      <c r="D167" s="6">
        <v>2022</v>
      </c>
      <c r="E167" s="6" t="s">
        <v>31</v>
      </c>
      <c r="F167" s="6" t="s">
        <v>13</v>
      </c>
      <c r="G167" s="6" t="s">
        <v>14</v>
      </c>
      <c r="H167" s="7">
        <v>44421.49</v>
      </c>
      <c r="I167" s="7" t="str">
        <f t="shared" si="4"/>
        <v>80k-90k</v>
      </c>
      <c r="J167" s="6">
        <v>9</v>
      </c>
      <c r="K167" s="8">
        <f t="shared" si="5"/>
        <v>399793.41</v>
      </c>
      <c r="L167" s="6" t="s">
        <v>36</v>
      </c>
    </row>
    <row r="168" spans="1:12" x14ac:dyDescent="0.3">
      <c r="A168" s="6" t="s">
        <v>218</v>
      </c>
      <c r="B168" s="6" t="s">
        <v>38</v>
      </c>
      <c r="C168" s="6" t="s">
        <v>96</v>
      </c>
      <c r="D168" s="6">
        <v>2021</v>
      </c>
      <c r="E168" s="6" t="s">
        <v>48</v>
      </c>
      <c r="F168" s="6" t="s">
        <v>28</v>
      </c>
      <c r="G168" s="6" t="s">
        <v>14</v>
      </c>
      <c r="H168" s="7">
        <v>56347.83</v>
      </c>
      <c r="I168" s="7" t="str">
        <f t="shared" si="4"/>
        <v>80k-90k</v>
      </c>
      <c r="J168" s="6">
        <v>6</v>
      </c>
      <c r="K168" s="8">
        <f t="shared" si="5"/>
        <v>338086.98</v>
      </c>
      <c r="L168" s="6" t="s">
        <v>15</v>
      </c>
    </row>
    <row r="169" spans="1:12" x14ac:dyDescent="0.3">
      <c r="A169" s="6" t="s">
        <v>219</v>
      </c>
      <c r="B169" s="6" t="s">
        <v>10</v>
      </c>
      <c r="C169" s="6" t="s">
        <v>11</v>
      </c>
      <c r="D169" s="6">
        <v>2019</v>
      </c>
      <c r="E169" s="6" t="s">
        <v>40</v>
      </c>
      <c r="F169" s="6" t="s">
        <v>35</v>
      </c>
      <c r="G169" s="6" t="s">
        <v>20</v>
      </c>
      <c r="H169" s="7">
        <v>34744.17</v>
      </c>
      <c r="I169" s="7" t="str">
        <f t="shared" si="4"/>
        <v>80k-90k</v>
      </c>
      <c r="J169" s="6">
        <v>20</v>
      </c>
      <c r="K169" s="8">
        <f t="shared" si="5"/>
        <v>694883.39999999991</v>
      </c>
      <c r="L169" s="6" t="s">
        <v>32</v>
      </c>
    </row>
    <row r="170" spans="1:12" x14ac:dyDescent="0.3">
      <c r="A170" s="6" t="s">
        <v>220</v>
      </c>
      <c r="B170" s="6" t="s">
        <v>10</v>
      </c>
      <c r="C170" s="6" t="s">
        <v>110</v>
      </c>
      <c r="D170" s="6">
        <v>2023</v>
      </c>
      <c r="E170" s="6" t="s">
        <v>31</v>
      </c>
      <c r="F170" s="6" t="s">
        <v>13</v>
      </c>
      <c r="G170" s="6" t="s">
        <v>20</v>
      </c>
      <c r="H170" s="7">
        <v>77945.94</v>
      </c>
      <c r="I170" s="7" t="str">
        <f t="shared" si="4"/>
        <v>80k-90k</v>
      </c>
      <c r="J170" s="6">
        <v>1</v>
      </c>
      <c r="K170" s="8">
        <f t="shared" si="5"/>
        <v>77945.94</v>
      </c>
      <c r="L170" s="6" t="s">
        <v>36</v>
      </c>
    </row>
    <row r="171" spans="1:12" x14ac:dyDescent="0.3">
      <c r="A171" s="6" t="s">
        <v>221</v>
      </c>
      <c r="B171" s="6" t="s">
        <v>10</v>
      </c>
      <c r="C171" s="6" t="s">
        <v>11</v>
      </c>
      <c r="D171" s="6">
        <v>2024</v>
      </c>
      <c r="E171" s="6" t="s">
        <v>55</v>
      </c>
      <c r="F171" s="6" t="s">
        <v>19</v>
      </c>
      <c r="G171" s="6" t="s">
        <v>20</v>
      </c>
      <c r="H171" s="7">
        <v>25733.99</v>
      </c>
      <c r="I171" s="7" t="str">
        <f t="shared" si="4"/>
        <v>80k-90k</v>
      </c>
      <c r="J171" s="6">
        <v>14</v>
      </c>
      <c r="K171" s="8">
        <f t="shared" si="5"/>
        <v>360275.86000000004</v>
      </c>
      <c r="L171" s="6" t="s">
        <v>36</v>
      </c>
    </row>
    <row r="172" spans="1:12" x14ac:dyDescent="0.3">
      <c r="A172" s="6" t="s">
        <v>222</v>
      </c>
      <c r="B172" s="6" t="s">
        <v>17</v>
      </c>
      <c r="C172" s="6" t="s">
        <v>62</v>
      </c>
      <c r="D172" s="6">
        <v>2024</v>
      </c>
      <c r="E172" s="6" t="s">
        <v>12</v>
      </c>
      <c r="F172" s="6" t="s">
        <v>13</v>
      </c>
      <c r="G172" s="6" t="s">
        <v>14</v>
      </c>
      <c r="H172" s="7">
        <v>23723.97</v>
      </c>
      <c r="I172" s="7" t="str">
        <f t="shared" si="4"/>
        <v>80k-90k</v>
      </c>
      <c r="J172" s="6">
        <v>9</v>
      </c>
      <c r="K172" s="8">
        <f t="shared" si="5"/>
        <v>213515.73</v>
      </c>
      <c r="L172" s="6" t="s">
        <v>32</v>
      </c>
    </row>
    <row r="173" spans="1:12" x14ac:dyDescent="0.3">
      <c r="A173" s="6" t="s">
        <v>223</v>
      </c>
      <c r="B173" s="6" t="s">
        <v>38</v>
      </c>
      <c r="C173" s="6" t="s">
        <v>39</v>
      </c>
      <c r="D173" s="6">
        <v>2015</v>
      </c>
      <c r="E173" s="6" t="s">
        <v>40</v>
      </c>
      <c r="F173" s="6" t="s">
        <v>28</v>
      </c>
      <c r="G173" s="6" t="s">
        <v>20</v>
      </c>
      <c r="H173" s="7">
        <v>25393.08</v>
      </c>
      <c r="I173" s="7" t="str">
        <f t="shared" si="4"/>
        <v>80k-90k</v>
      </c>
      <c r="J173" s="6">
        <v>8</v>
      </c>
      <c r="K173" s="8">
        <f t="shared" si="5"/>
        <v>203144.64</v>
      </c>
      <c r="L173" s="6" t="s">
        <v>36</v>
      </c>
    </row>
    <row r="174" spans="1:12" x14ac:dyDescent="0.3">
      <c r="A174" s="6" t="s">
        <v>224</v>
      </c>
      <c r="B174" s="6" t="s">
        <v>10</v>
      </c>
      <c r="C174" s="6" t="s">
        <v>11</v>
      </c>
      <c r="D174" s="6">
        <v>2020</v>
      </c>
      <c r="E174" s="6" t="s">
        <v>24</v>
      </c>
      <c r="F174" s="6" t="s">
        <v>13</v>
      </c>
      <c r="G174" s="6" t="s">
        <v>14</v>
      </c>
      <c r="H174" s="7">
        <v>57344.63</v>
      </c>
      <c r="I174" s="7" t="str">
        <f t="shared" si="4"/>
        <v>80k-90k</v>
      </c>
      <c r="J174" s="6">
        <v>10</v>
      </c>
      <c r="K174" s="8">
        <f t="shared" si="5"/>
        <v>573446.29999999993</v>
      </c>
      <c r="L174" s="6" t="s">
        <v>15</v>
      </c>
    </row>
    <row r="175" spans="1:12" x14ac:dyDescent="0.3">
      <c r="A175" s="6" t="s">
        <v>225</v>
      </c>
      <c r="B175" s="6" t="s">
        <v>10</v>
      </c>
      <c r="C175" s="6" t="s">
        <v>110</v>
      </c>
      <c r="D175" s="6">
        <v>2025</v>
      </c>
      <c r="E175" s="6" t="s">
        <v>31</v>
      </c>
      <c r="F175" s="6" t="s">
        <v>19</v>
      </c>
      <c r="G175" s="6" t="s">
        <v>14</v>
      </c>
      <c r="H175" s="7">
        <v>18521.5</v>
      </c>
      <c r="I175" s="7" t="str">
        <f t="shared" si="4"/>
        <v>80k-90k</v>
      </c>
      <c r="J175" s="6">
        <v>12</v>
      </c>
      <c r="K175" s="8">
        <f t="shared" si="5"/>
        <v>222258</v>
      </c>
      <c r="L175" s="6" t="s">
        <v>15</v>
      </c>
    </row>
    <row r="176" spans="1:12" x14ac:dyDescent="0.3">
      <c r="A176" s="6" t="s">
        <v>226</v>
      </c>
      <c r="B176" s="6" t="s">
        <v>22</v>
      </c>
      <c r="C176" s="6" t="s">
        <v>105</v>
      </c>
      <c r="D176" s="6">
        <v>2024</v>
      </c>
      <c r="E176" s="6" t="s">
        <v>40</v>
      </c>
      <c r="F176" s="6" t="s">
        <v>28</v>
      </c>
      <c r="G176" s="6" t="s">
        <v>14</v>
      </c>
      <c r="H176" s="7">
        <v>74816.25</v>
      </c>
      <c r="I176" s="7" t="str">
        <f t="shared" si="4"/>
        <v>80k-90k</v>
      </c>
      <c r="J176" s="6">
        <v>19</v>
      </c>
      <c r="K176" s="8">
        <f t="shared" si="5"/>
        <v>1421508.75</v>
      </c>
      <c r="L176" s="6" t="s">
        <v>32</v>
      </c>
    </row>
    <row r="177" spans="1:12" x14ac:dyDescent="0.3">
      <c r="A177" s="6" t="s">
        <v>227</v>
      </c>
      <c r="B177" s="6" t="s">
        <v>43</v>
      </c>
      <c r="C177" s="6" t="s">
        <v>44</v>
      </c>
      <c r="D177" s="6">
        <v>2022</v>
      </c>
      <c r="E177" s="6" t="s">
        <v>55</v>
      </c>
      <c r="F177" s="6" t="s">
        <v>28</v>
      </c>
      <c r="G177" s="6" t="s">
        <v>20</v>
      </c>
      <c r="H177" s="7">
        <v>95524.52</v>
      </c>
      <c r="I177" s="7" t="str">
        <f t="shared" si="4"/>
        <v>90k-1L</v>
      </c>
      <c r="J177" s="6">
        <v>6</v>
      </c>
      <c r="K177" s="8">
        <f t="shared" si="5"/>
        <v>573147.12</v>
      </c>
      <c r="L177" s="6" t="s">
        <v>32</v>
      </c>
    </row>
    <row r="178" spans="1:12" x14ac:dyDescent="0.3">
      <c r="A178" s="6" t="s">
        <v>228</v>
      </c>
      <c r="B178" s="6" t="s">
        <v>43</v>
      </c>
      <c r="C178" s="6" t="s">
        <v>91</v>
      </c>
      <c r="D178" s="6">
        <v>2021</v>
      </c>
      <c r="E178" s="6" t="s">
        <v>12</v>
      </c>
      <c r="F178" s="6" t="s">
        <v>13</v>
      </c>
      <c r="G178" s="6" t="s">
        <v>14</v>
      </c>
      <c r="H178" s="7">
        <v>94367.33</v>
      </c>
      <c r="I178" s="7" t="str">
        <f t="shared" si="4"/>
        <v>90k-1L</v>
      </c>
      <c r="J178" s="6">
        <v>8</v>
      </c>
      <c r="K178" s="8">
        <f t="shared" si="5"/>
        <v>754938.64</v>
      </c>
      <c r="L178" s="6" t="s">
        <v>32</v>
      </c>
    </row>
    <row r="179" spans="1:12" x14ac:dyDescent="0.3">
      <c r="A179" s="6" t="s">
        <v>229</v>
      </c>
      <c r="B179" s="6" t="s">
        <v>70</v>
      </c>
      <c r="C179" s="6" t="s">
        <v>80</v>
      </c>
      <c r="D179" s="6">
        <v>2025</v>
      </c>
      <c r="E179" s="6" t="s">
        <v>31</v>
      </c>
      <c r="F179" s="6" t="s">
        <v>13</v>
      </c>
      <c r="G179" s="6" t="s">
        <v>14</v>
      </c>
      <c r="H179" s="7">
        <v>77094.759999999995</v>
      </c>
      <c r="I179" s="7" t="str">
        <f t="shared" si="4"/>
        <v>80k-90k</v>
      </c>
      <c r="J179" s="6">
        <v>6</v>
      </c>
      <c r="K179" s="8">
        <f t="shared" si="5"/>
        <v>462568.55999999994</v>
      </c>
      <c r="L179" s="6" t="s">
        <v>36</v>
      </c>
    </row>
    <row r="180" spans="1:12" x14ac:dyDescent="0.3">
      <c r="A180" s="6" t="s">
        <v>230</v>
      </c>
      <c r="B180" s="6" t="s">
        <v>22</v>
      </c>
      <c r="C180" s="6" t="s">
        <v>105</v>
      </c>
      <c r="D180" s="6">
        <v>2020</v>
      </c>
      <c r="E180" s="6" t="s">
        <v>40</v>
      </c>
      <c r="F180" s="6" t="s">
        <v>13</v>
      </c>
      <c r="G180" s="6" t="s">
        <v>20</v>
      </c>
      <c r="H180" s="7">
        <v>43838.33</v>
      </c>
      <c r="I180" s="7" t="str">
        <f t="shared" si="4"/>
        <v>80k-90k</v>
      </c>
      <c r="J180" s="6">
        <v>5</v>
      </c>
      <c r="K180" s="8">
        <f t="shared" si="5"/>
        <v>219191.65000000002</v>
      </c>
      <c r="L180" s="6" t="s">
        <v>32</v>
      </c>
    </row>
    <row r="181" spans="1:12" x14ac:dyDescent="0.3">
      <c r="A181" s="6" t="s">
        <v>231</v>
      </c>
      <c r="B181" s="6" t="s">
        <v>22</v>
      </c>
      <c r="C181" s="6" t="s">
        <v>105</v>
      </c>
      <c r="D181" s="6">
        <v>2025</v>
      </c>
      <c r="E181" s="6" t="s">
        <v>24</v>
      </c>
      <c r="F181" s="6" t="s">
        <v>19</v>
      </c>
      <c r="G181" s="6" t="s">
        <v>20</v>
      </c>
      <c r="H181" s="7">
        <v>15712.77</v>
      </c>
      <c r="I181" s="7" t="str">
        <f t="shared" si="4"/>
        <v>80k-90k</v>
      </c>
      <c r="J181" s="6">
        <v>19</v>
      </c>
      <c r="K181" s="8">
        <f t="shared" si="5"/>
        <v>298542.63</v>
      </c>
      <c r="L181" s="6" t="s">
        <v>32</v>
      </c>
    </row>
    <row r="182" spans="1:12" x14ac:dyDescent="0.3">
      <c r="A182" s="6" t="s">
        <v>232</v>
      </c>
      <c r="B182" s="6" t="s">
        <v>17</v>
      </c>
      <c r="C182" s="6" t="s">
        <v>46</v>
      </c>
      <c r="D182" s="6">
        <v>2018</v>
      </c>
      <c r="E182" s="6" t="s">
        <v>12</v>
      </c>
      <c r="F182" s="6" t="s">
        <v>28</v>
      </c>
      <c r="G182" s="6" t="s">
        <v>14</v>
      </c>
      <c r="H182" s="7">
        <v>19270.259999999998</v>
      </c>
      <c r="I182" s="7" t="str">
        <f t="shared" si="4"/>
        <v>80k-90k</v>
      </c>
      <c r="J182" s="6">
        <v>16</v>
      </c>
      <c r="K182" s="8">
        <f t="shared" si="5"/>
        <v>308324.15999999997</v>
      </c>
      <c r="L182" s="6" t="s">
        <v>32</v>
      </c>
    </row>
    <row r="183" spans="1:12" x14ac:dyDescent="0.3">
      <c r="A183" s="6" t="s">
        <v>233</v>
      </c>
      <c r="B183" s="6" t="s">
        <v>70</v>
      </c>
      <c r="C183" s="6" t="s">
        <v>80</v>
      </c>
      <c r="D183" s="6">
        <v>2018</v>
      </c>
      <c r="E183" s="6" t="s">
        <v>48</v>
      </c>
      <c r="F183" s="6" t="s">
        <v>35</v>
      </c>
      <c r="G183" s="6" t="s">
        <v>20</v>
      </c>
      <c r="H183" s="7">
        <v>94592.91</v>
      </c>
      <c r="I183" s="7" t="str">
        <f t="shared" si="4"/>
        <v>90k-1L</v>
      </c>
      <c r="J183" s="6">
        <v>16</v>
      </c>
      <c r="K183" s="8">
        <f t="shared" si="5"/>
        <v>1513486.56</v>
      </c>
      <c r="L183" s="6" t="s">
        <v>15</v>
      </c>
    </row>
    <row r="184" spans="1:12" x14ac:dyDescent="0.3">
      <c r="A184" s="6" t="s">
        <v>233</v>
      </c>
      <c r="B184" s="6" t="s">
        <v>70</v>
      </c>
      <c r="C184" s="6" t="s">
        <v>80</v>
      </c>
      <c r="D184" s="6">
        <v>2018</v>
      </c>
      <c r="E184" s="6" t="s">
        <v>48</v>
      </c>
      <c r="F184" s="6" t="s">
        <v>35</v>
      </c>
      <c r="G184" s="6" t="s">
        <v>20</v>
      </c>
      <c r="H184" s="7">
        <v>94592.91</v>
      </c>
      <c r="I184" s="7" t="str">
        <f t="shared" si="4"/>
        <v>90k-1L</v>
      </c>
      <c r="J184" s="6">
        <v>16</v>
      </c>
      <c r="K184" s="8">
        <f t="shared" si="5"/>
        <v>1513486.56</v>
      </c>
      <c r="L184" s="6" t="s">
        <v>15</v>
      </c>
    </row>
    <row r="185" spans="1:12" x14ac:dyDescent="0.3">
      <c r="A185" s="6" t="s">
        <v>234</v>
      </c>
      <c r="B185" s="6" t="s">
        <v>38</v>
      </c>
      <c r="C185" s="6" t="s">
        <v>65</v>
      </c>
      <c r="D185" s="6">
        <v>2022</v>
      </c>
      <c r="E185" s="6" t="s">
        <v>12</v>
      </c>
      <c r="F185" s="6" t="s">
        <v>13</v>
      </c>
      <c r="G185" s="6" t="s">
        <v>14</v>
      </c>
      <c r="H185" s="7">
        <v>40162.15</v>
      </c>
      <c r="I185" s="7" t="str">
        <f t="shared" si="4"/>
        <v>80k-90k</v>
      </c>
      <c r="J185" s="6">
        <v>3</v>
      </c>
      <c r="K185" s="8">
        <f t="shared" si="5"/>
        <v>120486.45000000001</v>
      </c>
      <c r="L185" s="6" t="s">
        <v>15</v>
      </c>
    </row>
    <row r="186" spans="1:12" x14ac:dyDescent="0.3">
      <c r="A186" s="6" t="s">
        <v>235</v>
      </c>
      <c r="B186" s="6" t="s">
        <v>70</v>
      </c>
      <c r="C186" s="6" t="s">
        <v>114</v>
      </c>
      <c r="D186" s="6">
        <v>2015</v>
      </c>
      <c r="E186" s="6" t="s">
        <v>31</v>
      </c>
      <c r="F186" s="6" t="s">
        <v>28</v>
      </c>
      <c r="G186" s="6" t="s">
        <v>14</v>
      </c>
      <c r="H186" s="7">
        <v>90025.63</v>
      </c>
      <c r="I186" s="7" t="str">
        <f t="shared" si="4"/>
        <v>90k-1L</v>
      </c>
      <c r="J186" s="6">
        <v>6</v>
      </c>
      <c r="K186" s="8">
        <f t="shared" si="5"/>
        <v>540153.78</v>
      </c>
      <c r="L186" s="6" t="s">
        <v>36</v>
      </c>
    </row>
    <row r="187" spans="1:12" x14ac:dyDescent="0.3">
      <c r="A187" s="6" t="s">
        <v>236</v>
      </c>
      <c r="B187" s="6" t="s">
        <v>26</v>
      </c>
      <c r="C187" s="6" t="s">
        <v>74</v>
      </c>
      <c r="D187" s="6">
        <v>2015</v>
      </c>
      <c r="E187" s="6" t="s">
        <v>40</v>
      </c>
      <c r="F187" s="6" t="s">
        <v>19</v>
      </c>
      <c r="G187" s="6" t="s">
        <v>14</v>
      </c>
      <c r="H187" s="7">
        <v>22264.62</v>
      </c>
      <c r="I187" s="7" t="str">
        <f t="shared" si="4"/>
        <v>80k-90k</v>
      </c>
      <c r="J187" s="6">
        <v>2</v>
      </c>
      <c r="K187" s="8">
        <f t="shared" si="5"/>
        <v>44529.24</v>
      </c>
      <c r="L187" s="6" t="s">
        <v>15</v>
      </c>
    </row>
    <row r="188" spans="1:12" x14ac:dyDescent="0.3">
      <c r="A188" s="6" t="s">
        <v>237</v>
      </c>
      <c r="B188" s="6" t="s">
        <v>43</v>
      </c>
      <c r="C188" s="6" t="s">
        <v>93</v>
      </c>
      <c r="D188" s="6">
        <v>2016</v>
      </c>
      <c r="E188" s="6" t="s">
        <v>48</v>
      </c>
      <c r="F188" s="6" t="s">
        <v>35</v>
      </c>
      <c r="G188" s="6" t="s">
        <v>14</v>
      </c>
      <c r="H188" s="7">
        <v>95629</v>
      </c>
      <c r="I188" s="7" t="str">
        <f t="shared" si="4"/>
        <v>90k-1L</v>
      </c>
      <c r="J188" s="6">
        <v>4</v>
      </c>
      <c r="K188" s="8">
        <f t="shared" si="5"/>
        <v>382516</v>
      </c>
      <c r="L188" s="6" t="s">
        <v>15</v>
      </c>
    </row>
    <row r="189" spans="1:12" x14ac:dyDescent="0.3">
      <c r="A189" s="6" t="s">
        <v>238</v>
      </c>
      <c r="B189" s="6" t="s">
        <v>26</v>
      </c>
      <c r="C189" s="6" t="s">
        <v>74</v>
      </c>
      <c r="D189" s="6">
        <v>2021</v>
      </c>
      <c r="E189" s="6" t="s">
        <v>55</v>
      </c>
      <c r="F189" s="6" t="s">
        <v>19</v>
      </c>
      <c r="G189" s="6" t="s">
        <v>14</v>
      </c>
      <c r="H189" s="7">
        <v>62336.26</v>
      </c>
      <c r="I189" s="7" t="str">
        <f t="shared" si="4"/>
        <v>80k-90k</v>
      </c>
      <c r="J189" s="6">
        <v>20</v>
      </c>
      <c r="K189" s="8">
        <f t="shared" si="5"/>
        <v>1246725.2</v>
      </c>
      <c r="L189" s="6" t="s">
        <v>32</v>
      </c>
    </row>
    <row r="190" spans="1:12" x14ac:dyDescent="0.3">
      <c r="A190" s="6" t="s">
        <v>239</v>
      </c>
      <c r="B190" s="6" t="s">
        <v>10</v>
      </c>
      <c r="C190" s="6" t="s">
        <v>110</v>
      </c>
      <c r="D190" s="6">
        <v>2018</v>
      </c>
      <c r="E190" s="6" t="s">
        <v>12</v>
      </c>
      <c r="F190" s="6" t="s">
        <v>35</v>
      </c>
      <c r="G190" s="6" t="s">
        <v>14</v>
      </c>
      <c r="H190" s="7">
        <v>62762.83</v>
      </c>
      <c r="I190" s="7" t="str">
        <f t="shared" si="4"/>
        <v>80k-90k</v>
      </c>
      <c r="J190" s="6">
        <v>8</v>
      </c>
      <c r="K190" s="8">
        <f t="shared" si="5"/>
        <v>502102.64</v>
      </c>
      <c r="L190" s="6" t="s">
        <v>36</v>
      </c>
    </row>
    <row r="191" spans="1:12" x14ac:dyDescent="0.3">
      <c r="A191" s="6" t="s">
        <v>240</v>
      </c>
      <c r="B191" s="6" t="s">
        <v>43</v>
      </c>
      <c r="C191" s="6" t="s">
        <v>44</v>
      </c>
      <c r="D191" s="6">
        <v>2020</v>
      </c>
      <c r="E191" s="6" t="s">
        <v>24</v>
      </c>
      <c r="F191" s="6" t="s">
        <v>19</v>
      </c>
      <c r="G191" s="6" t="s">
        <v>20</v>
      </c>
      <c r="H191" s="7">
        <v>66184.259999999995</v>
      </c>
      <c r="I191" s="7" t="str">
        <f t="shared" si="4"/>
        <v>80k-90k</v>
      </c>
      <c r="J191" s="6">
        <v>9</v>
      </c>
      <c r="K191" s="8">
        <f t="shared" si="5"/>
        <v>595658.34</v>
      </c>
      <c r="L191" s="6" t="s">
        <v>15</v>
      </c>
    </row>
    <row r="192" spans="1:12" x14ac:dyDescent="0.3">
      <c r="A192" s="6" t="s">
        <v>241</v>
      </c>
      <c r="B192" s="6" t="s">
        <v>43</v>
      </c>
      <c r="C192" s="6" t="s">
        <v>91</v>
      </c>
      <c r="D192" s="6">
        <v>2023</v>
      </c>
      <c r="E192" s="6" t="s">
        <v>24</v>
      </c>
      <c r="F192" s="6" t="s">
        <v>13</v>
      </c>
      <c r="G192" s="6" t="s">
        <v>20</v>
      </c>
      <c r="H192" s="7">
        <v>42304.160000000003</v>
      </c>
      <c r="I192" s="7" t="str">
        <f t="shared" si="4"/>
        <v>80k-90k</v>
      </c>
      <c r="J192" s="6">
        <v>9</v>
      </c>
      <c r="K192" s="8">
        <f t="shared" si="5"/>
        <v>380737.44000000006</v>
      </c>
      <c r="L192" s="6" t="s">
        <v>32</v>
      </c>
    </row>
    <row r="193" spans="1:12" x14ac:dyDescent="0.3">
      <c r="A193" s="6" t="s">
        <v>242</v>
      </c>
      <c r="B193" s="6" t="s">
        <v>22</v>
      </c>
      <c r="C193" s="6" t="s">
        <v>23</v>
      </c>
      <c r="D193" s="6">
        <v>2025</v>
      </c>
      <c r="E193" s="6" t="s">
        <v>40</v>
      </c>
      <c r="F193" s="6" t="s">
        <v>13</v>
      </c>
      <c r="G193" s="6" t="s">
        <v>20</v>
      </c>
      <c r="H193" s="7">
        <v>42582.85</v>
      </c>
      <c r="I193" s="7" t="str">
        <f t="shared" si="4"/>
        <v>80k-90k</v>
      </c>
      <c r="J193" s="6">
        <v>4</v>
      </c>
      <c r="K193" s="8">
        <f t="shared" si="5"/>
        <v>170331.4</v>
      </c>
      <c r="L193" s="6" t="s">
        <v>15</v>
      </c>
    </row>
    <row r="194" spans="1:12" x14ac:dyDescent="0.3">
      <c r="A194" s="6" t="s">
        <v>243</v>
      </c>
      <c r="B194" s="6" t="s">
        <v>22</v>
      </c>
      <c r="C194" s="6" t="s">
        <v>105</v>
      </c>
      <c r="D194" s="6">
        <v>2015</v>
      </c>
      <c r="E194" s="6" t="s">
        <v>40</v>
      </c>
      <c r="F194" s="6" t="s">
        <v>35</v>
      </c>
      <c r="G194" s="6" t="s">
        <v>20</v>
      </c>
      <c r="H194" s="7">
        <v>92711.05</v>
      </c>
      <c r="I194" s="7" t="str">
        <f t="shared" ref="I194:I257" si="6">IF(H194&lt;90000,"80k-90k",IF(H194&lt;100000,"90k-1L","1L+"))</f>
        <v>90k-1L</v>
      </c>
      <c r="J194" s="6">
        <v>2</v>
      </c>
      <c r="K194" s="8">
        <f t="shared" ref="K194:K257" si="7">PRODUCT(H194*J194)</f>
        <v>185422.1</v>
      </c>
      <c r="L194" s="6" t="s">
        <v>36</v>
      </c>
    </row>
    <row r="195" spans="1:12" x14ac:dyDescent="0.3">
      <c r="A195" s="6" t="s">
        <v>244</v>
      </c>
      <c r="B195" s="6" t="s">
        <v>10</v>
      </c>
      <c r="C195" s="6" t="s">
        <v>11</v>
      </c>
      <c r="D195" s="6">
        <v>2020</v>
      </c>
      <c r="E195" s="6" t="s">
        <v>55</v>
      </c>
      <c r="F195" s="6" t="s">
        <v>13</v>
      </c>
      <c r="G195" s="6" t="s">
        <v>20</v>
      </c>
      <c r="H195" s="7">
        <v>91143.29</v>
      </c>
      <c r="I195" s="7" t="str">
        <f t="shared" si="6"/>
        <v>90k-1L</v>
      </c>
      <c r="J195" s="6">
        <v>6</v>
      </c>
      <c r="K195" s="8">
        <f t="shared" si="7"/>
        <v>546859.74</v>
      </c>
      <c r="L195" s="6" t="s">
        <v>15</v>
      </c>
    </row>
    <row r="196" spans="1:12" x14ac:dyDescent="0.3">
      <c r="A196" s="6" t="s">
        <v>245</v>
      </c>
      <c r="B196" s="6" t="s">
        <v>43</v>
      </c>
      <c r="C196" s="6" t="s">
        <v>91</v>
      </c>
      <c r="D196" s="6">
        <v>2020</v>
      </c>
      <c r="E196" s="6" t="s">
        <v>12</v>
      </c>
      <c r="F196" s="6" t="s">
        <v>19</v>
      </c>
      <c r="G196" s="6" t="s">
        <v>20</v>
      </c>
      <c r="H196" s="7">
        <v>47141.16</v>
      </c>
      <c r="I196" s="7" t="str">
        <f t="shared" si="6"/>
        <v>80k-90k</v>
      </c>
      <c r="J196" s="6">
        <v>8</v>
      </c>
      <c r="K196" s="8">
        <f t="shared" si="7"/>
        <v>377129.28</v>
      </c>
      <c r="L196" s="6" t="s">
        <v>32</v>
      </c>
    </row>
    <row r="197" spans="1:12" x14ac:dyDescent="0.3">
      <c r="A197" s="6" t="s">
        <v>246</v>
      </c>
      <c r="B197" s="6" t="s">
        <v>17</v>
      </c>
      <c r="C197" s="6" t="s">
        <v>62</v>
      </c>
      <c r="D197" s="6">
        <v>2020</v>
      </c>
      <c r="E197" s="6" t="s">
        <v>40</v>
      </c>
      <c r="F197" s="6" t="s">
        <v>35</v>
      </c>
      <c r="G197" s="6" t="s">
        <v>20</v>
      </c>
      <c r="H197" s="7">
        <v>36871.75</v>
      </c>
      <c r="I197" s="7" t="str">
        <f t="shared" si="6"/>
        <v>80k-90k</v>
      </c>
      <c r="J197" s="6">
        <v>2</v>
      </c>
      <c r="K197" s="8">
        <f t="shared" si="7"/>
        <v>73743.5</v>
      </c>
      <c r="L197" s="6" t="s">
        <v>15</v>
      </c>
    </row>
    <row r="198" spans="1:12" x14ac:dyDescent="0.3">
      <c r="A198" s="6" t="s">
        <v>247</v>
      </c>
      <c r="B198" s="6" t="s">
        <v>26</v>
      </c>
      <c r="C198" s="6" t="s">
        <v>34</v>
      </c>
      <c r="D198" s="6">
        <v>2021</v>
      </c>
      <c r="E198" s="6" t="s">
        <v>12</v>
      </c>
      <c r="F198" s="6" t="s">
        <v>13</v>
      </c>
      <c r="G198" s="6" t="s">
        <v>14</v>
      </c>
      <c r="H198" s="7">
        <v>44101.03</v>
      </c>
      <c r="I198" s="7" t="str">
        <f t="shared" si="6"/>
        <v>80k-90k</v>
      </c>
      <c r="J198" s="6">
        <v>14</v>
      </c>
      <c r="K198" s="8">
        <f t="shared" si="7"/>
        <v>617414.41999999993</v>
      </c>
      <c r="L198" s="6" t="s">
        <v>15</v>
      </c>
    </row>
    <row r="199" spans="1:12" x14ac:dyDescent="0.3">
      <c r="A199" s="6" t="s">
        <v>248</v>
      </c>
      <c r="B199" s="6" t="s">
        <v>10</v>
      </c>
      <c r="C199" s="6" t="s">
        <v>11</v>
      </c>
      <c r="D199" s="6">
        <v>2021</v>
      </c>
      <c r="E199" s="6" t="s">
        <v>55</v>
      </c>
      <c r="F199" s="6" t="s">
        <v>13</v>
      </c>
      <c r="G199" s="6" t="s">
        <v>14</v>
      </c>
      <c r="H199" s="7">
        <v>85571.95</v>
      </c>
      <c r="I199" s="7" t="str">
        <f t="shared" si="6"/>
        <v>80k-90k</v>
      </c>
      <c r="J199" s="6">
        <v>18</v>
      </c>
      <c r="K199" s="8">
        <f t="shared" si="7"/>
        <v>1540295.0999999999</v>
      </c>
      <c r="L199" s="6" t="s">
        <v>15</v>
      </c>
    </row>
    <row r="200" spans="1:12" x14ac:dyDescent="0.3">
      <c r="A200" s="6" t="s">
        <v>249</v>
      </c>
      <c r="B200" s="6" t="s">
        <v>17</v>
      </c>
      <c r="C200" s="6" t="s">
        <v>62</v>
      </c>
      <c r="D200" s="6">
        <v>2022</v>
      </c>
      <c r="E200" s="6" t="s">
        <v>31</v>
      </c>
      <c r="F200" s="6" t="s">
        <v>28</v>
      </c>
      <c r="G200" s="6" t="s">
        <v>14</v>
      </c>
      <c r="H200" s="7">
        <v>35439.69</v>
      </c>
      <c r="I200" s="7" t="str">
        <f t="shared" si="6"/>
        <v>80k-90k</v>
      </c>
      <c r="J200" s="6">
        <v>12</v>
      </c>
      <c r="K200" s="8">
        <f t="shared" si="7"/>
        <v>425276.28</v>
      </c>
      <c r="L200" s="6" t="s">
        <v>15</v>
      </c>
    </row>
    <row r="201" spans="1:12" x14ac:dyDescent="0.3">
      <c r="A201" s="6" t="s">
        <v>250</v>
      </c>
      <c r="B201" s="6" t="s">
        <v>26</v>
      </c>
      <c r="C201" s="6" t="s">
        <v>34</v>
      </c>
      <c r="D201" s="6">
        <v>2025</v>
      </c>
      <c r="E201" s="6" t="s">
        <v>48</v>
      </c>
      <c r="F201" s="6" t="s">
        <v>35</v>
      </c>
      <c r="G201" s="6" t="s">
        <v>20</v>
      </c>
      <c r="H201" s="7">
        <v>42536.49</v>
      </c>
      <c r="I201" s="7" t="str">
        <f t="shared" si="6"/>
        <v>80k-90k</v>
      </c>
      <c r="J201" s="6">
        <v>4</v>
      </c>
      <c r="K201" s="8">
        <f t="shared" si="7"/>
        <v>170145.96</v>
      </c>
      <c r="L201" s="6" t="s">
        <v>36</v>
      </c>
    </row>
    <row r="202" spans="1:12" x14ac:dyDescent="0.3">
      <c r="A202" s="6" t="s">
        <v>251</v>
      </c>
      <c r="B202" s="6" t="s">
        <v>10</v>
      </c>
      <c r="C202" s="6" t="s">
        <v>110</v>
      </c>
      <c r="D202" s="6">
        <v>2022</v>
      </c>
      <c r="E202" s="6" t="s">
        <v>40</v>
      </c>
      <c r="F202" s="6" t="s">
        <v>13</v>
      </c>
      <c r="G202" s="6" t="s">
        <v>20</v>
      </c>
      <c r="H202" s="7">
        <v>71249.59</v>
      </c>
      <c r="I202" s="7" t="str">
        <f t="shared" si="6"/>
        <v>80k-90k</v>
      </c>
      <c r="J202" s="6">
        <v>20</v>
      </c>
      <c r="K202" s="8">
        <f t="shared" si="7"/>
        <v>1424991.7999999998</v>
      </c>
      <c r="L202" s="6" t="s">
        <v>15</v>
      </c>
    </row>
    <row r="203" spans="1:12" x14ac:dyDescent="0.3">
      <c r="A203" s="6" t="s">
        <v>252</v>
      </c>
      <c r="B203" s="6" t="s">
        <v>10</v>
      </c>
      <c r="C203" s="6" t="s">
        <v>11</v>
      </c>
      <c r="D203" s="6">
        <v>2023</v>
      </c>
      <c r="E203" s="6" t="s">
        <v>12</v>
      </c>
      <c r="F203" s="6" t="s">
        <v>28</v>
      </c>
      <c r="G203" s="6" t="s">
        <v>14</v>
      </c>
      <c r="H203" s="7">
        <v>57000.19</v>
      </c>
      <c r="I203" s="7" t="str">
        <f t="shared" si="6"/>
        <v>80k-90k</v>
      </c>
      <c r="J203" s="6">
        <v>17</v>
      </c>
      <c r="K203" s="8">
        <f t="shared" si="7"/>
        <v>969003.23</v>
      </c>
      <c r="L203" s="6" t="s">
        <v>15</v>
      </c>
    </row>
    <row r="204" spans="1:12" x14ac:dyDescent="0.3">
      <c r="A204" s="6" t="s">
        <v>253</v>
      </c>
      <c r="B204" s="6" t="s">
        <v>38</v>
      </c>
      <c r="C204" s="6" t="s">
        <v>39</v>
      </c>
      <c r="D204" s="6">
        <v>2018</v>
      </c>
      <c r="E204" s="6" t="s">
        <v>24</v>
      </c>
      <c r="F204" s="6" t="s">
        <v>35</v>
      </c>
      <c r="G204" s="6" t="s">
        <v>14</v>
      </c>
      <c r="H204" s="7">
        <v>35182.93</v>
      </c>
      <c r="I204" s="7" t="str">
        <f t="shared" si="6"/>
        <v>80k-90k</v>
      </c>
      <c r="J204" s="6">
        <v>8</v>
      </c>
      <c r="K204" s="8">
        <f t="shared" si="7"/>
        <v>281463.44</v>
      </c>
      <c r="L204" s="6" t="s">
        <v>36</v>
      </c>
    </row>
    <row r="205" spans="1:12" x14ac:dyDescent="0.3">
      <c r="A205" s="6" t="s">
        <v>254</v>
      </c>
      <c r="B205" s="6" t="s">
        <v>70</v>
      </c>
      <c r="C205" s="6" t="s">
        <v>80</v>
      </c>
      <c r="D205" s="6">
        <v>2025</v>
      </c>
      <c r="E205" s="6" t="s">
        <v>48</v>
      </c>
      <c r="F205" s="6" t="s">
        <v>28</v>
      </c>
      <c r="G205" s="6" t="s">
        <v>20</v>
      </c>
      <c r="H205" s="7">
        <v>26695.21</v>
      </c>
      <c r="I205" s="7" t="str">
        <f t="shared" si="6"/>
        <v>80k-90k</v>
      </c>
      <c r="J205" s="6">
        <v>0</v>
      </c>
      <c r="K205" s="8">
        <f t="shared" si="7"/>
        <v>0</v>
      </c>
      <c r="L205" s="6" t="s">
        <v>32</v>
      </c>
    </row>
    <row r="206" spans="1:12" x14ac:dyDescent="0.3">
      <c r="A206" s="6" t="s">
        <v>255</v>
      </c>
      <c r="B206" s="6" t="s">
        <v>17</v>
      </c>
      <c r="C206" s="6" t="s">
        <v>46</v>
      </c>
      <c r="D206" s="6">
        <v>2019</v>
      </c>
      <c r="E206" s="6" t="s">
        <v>24</v>
      </c>
      <c r="F206" s="6" t="s">
        <v>19</v>
      </c>
      <c r="G206" s="6" t="s">
        <v>20</v>
      </c>
      <c r="H206" s="7">
        <v>19232.38</v>
      </c>
      <c r="I206" s="7" t="str">
        <f t="shared" si="6"/>
        <v>80k-90k</v>
      </c>
      <c r="J206" s="6">
        <v>17</v>
      </c>
      <c r="K206" s="8">
        <f t="shared" si="7"/>
        <v>326950.46000000002</v>
      </c>
      <c r="L206" s="6" t="s">
        <v>32</v>
      </c>
    </row>
    <row r="207" spans="1:12" x14ac:dyDescent="0.3">
      <c r="A207" s="6" t="s">
        <v>256</v>
      </c>
      <c r="B207" s="6" t="s">
        <v>38</v>
      </c>
      <c r="C207" s="6" t="s">
        <v>96</v>
      </c>
      <c r="D207" s="6">
        <v>2018</v>
      </c>
      <c r="E207" s="6" t="s">
        <v>55</v>
      </c>
      <c r="F207" s="6" t="s">
        <v>19</v>
      </c>
      <c r="G207" s="6" t="s">
        <v>20</v>
      </c>
      <c r="H207" s="7">
        <v>91063.54</v>
      </c>
      <c r="I207" s="7" t="str">
        <f t="shared" si="6"/>
        <v>90k-1L</v>
      </c>
      <c r="J207" s="6">
        <v>9</v>
      </c>
      <c r="K207" s="8">
        <f t="shared" si="7"/>
        <v>819571.86</v>
      </c>
      <c r="L207" s="6" t="s">
        <v>36</v>
      </c>
    </row>
    <row r="208" spans="1:12" x14ac:dyDescent="0.3">
      <c r="A208" s="6" t="s">
        <v>257</v>
      </c>
      <c r="B208" s="6" t="s">
        <v>70</v>
      </c>
      <c r="C208" s="6" t="s">
        <v>71</v>
      </c>
      <c r="D208" s="6">
        <v>2019</v>
      </c>
      <c r="E208" s="6" t="s">
        <v>55</v>
      </c>
      <c r="F208" s="6" t="s">
        <v>13</v>
      </c>
      <c r="G208" s="6" t="s">
        <v>20</v>
      </c>
      <c r="H208" s="7">
        <v>95801.7</v>
      </c>
      <c r="I208" s="7" t="str">
        <f t="shared" si="6"/>
        <v>90k-1L</v>
      </c>
      <c r="J208" s="6">
        <v>1</v>
      </c>
      <c r="K208" s="8">
        <f t="shared" si="7"/>
        <v>95801.7</v>
      </c>
      <c r="L208" s="6" t="s">
        <v>32</v>
      </c>
    </row>
    <row r="209" spans="1:12" x14ac:dyDescent="0.3">
      <c r="A209" s="6" t="s">
        <v>258</v>
      </c>
      <c r="B209" s="6" t="s">
        <v>22</v>
      </c>
      <c r="C209" s="6" t="s">
        <v>105</v>
      </c>
      <c r="D209" s="6">
        <v>2022</v>
      </c>
      <c r="E209" s="6" t="s">
        <v>12</v>
      </c>
      <c r="F209" s="6" t="s">
        <v>13</v>
      </c>
      <c r="G209" s="6" t="s">
        <v>20</v>
      </c>
      <c r="H209" s="7">
        <v>36900.28</v>
      </c>
      <c r="I209" s="7" t="str">
        <f t="shared" si="6"/>
        <v>80k-90k</v>
      </c>
      <c r="J209" s="6">
        <v>8</v>
      </c>
      <c r="K209" s="8">
        <f t="shared" si="7"/>
        <v>295202.24</v>
      </c>
      <c r="L209" s="6" t="s">
        <v>15</v>
      </c>
    </row>
    <row r="210" spans="1:12" x14ac:dyDescent="0.3">
      <c r="A210" s="6" t="s">
        <v>259</v>
      </c>
      <c r="B210" s="6" t="s">
        <v>43</v>
      </c>
      <c r="C210" s="6" t="s">
        <v>44</v>
      </c>
      <c r="D210" s="6">
        <v>2024</v>
      </c>
      <c r="E210" s="6" t="s">
        <v>24</v>
      </c>
      <c r="F210" s="6" t="s">
        <v>19</v>
      </c>
      <c r="G210" s="6" t="s">
        <v>14</v>
      </c>
      <c r="H210" s="7">
        <v>43449.599999999999</v>
      </c>
      <c r="I210" s="7" t="str">
        <f t="shared" si="6"/>
        <v>80k-90k</v>
      </c>
      <c r="J210" s="6">
        <v>12</v>
      </c>
      <c r="K210" s="8">
        <f t="shared" si="7"/>
        <v>521395.19999999995</v>
      </c>
      <c r="L210" s="6" t="s">
        <v>32</v>
      </c>
    </row>
    <row r="211" spans="1:12" x14ac:dyDescent="0.3">
      <c r="A211" s="6" t="s">
        <v>260</v>
      </c>
      <c r="B211" s="6" t="s">
        <v>38</v>
      </c>
      <c r="C211" s="6" t="s">
        <v>96</v>
      </c>
      <c r="D211" s="6">
        <v>2023</v>
      </c>
      <c r="E211" s="6" t="s">
        <v>31</v>
      </c>
      <c r="F211" s="6" t="s">
        <v>19</v>
      </c>
      <c r="G211" s="6" t="s">
        <v>20</v>
      </c>
      <c r="H211" s="7">
        <v>49027.17</v>
      </c>
      <c r="I211" s="7" t="str">
        <f t="shared" si="6"/>
        <v>80k-90k</v>
      </c>
      <c r="J211" s="6">
        <v>20</v>
      </c>
      <c r="K211" s="8">
        <f t="shared" si="7"/>
        <v>980543.39999999991</v>
      </c>
      <c r="L211" s="6" t="s">
        <v>36</v>
      </c>
    </row>
    <row r="212" spans="1:12" x14ac:dyDescent="0.3">
      <c r="A212" s="6" t="s">
        <v>261</v>
      </c>
      <c r="B212" s="6" t="s">
        <v>17</v>
      </c>
      <c r="C212" s="6" t="s">
        <v>46</v>
      </c>
      <c r="D212" s="6">
        <v>2016</v>
      </c>
      <c r="E212" s="6" t="s">
        <v>40</v>
      </c>
      <c r="F212" s="6" t="s">
        <v>19</v>
      </c>
      <c r="G212" s="6" t="s">
        <v>14</v>
      </c>
      <c r="H212" s="7">
        <v>74916.759999999995</v>
      </c>
      <c r="I212" s="7" t="str">
        <f t="shared" si="6"/>
        <v>80k-90k</v>
      </c>
      <c r="J212" s="6">
        <v>13</v>
      </c>
      <c r="K212" s="8">
        <f t="shared" si="7"/>
        <v>973917.87999999989</v>
      </c>
      <c r="L212" s="6" t="s">
        <v>15</v>
      </c>
    </row>
    <row r="213" spans="1:12" x14ac:dyDescent="0.3">
      <c r="A213" s="6" t="s">
        <v>262</v>
      </c>
      <c r="B213" s="6" t="s">
        <v>10</v>
      </c>
      <c r="C213" s="6" t="s">
        <v>11</v>
      </c>
      <c r="D213" s="6">
        <v>2018</v>
      </c>
      <c r="E213" s="6" t="s">
        <v>55</v>
      </c>
      <c r="F213" s="6" t="s">
        <v>35</v>
      </c>
      <c r="G213" s="6" t="s">
        <v>14</v>
      </c>
      <c r="H213" s="7">
        <v>68207.89</v>
      </c>
      <c r="I213" s="7" t="str">
        <f t="shared" si="6"/>
        <v>80k-90k</v>
      </c>
      <c r="J213" s="6">
        <v>18</v>
      </c>
      <c r="K213" s="8">
        <f t="shared" si="7"/>
        <v>1227742.02</v>
      </c>
      <c r="L213" s="6" t="s">
        <v>36</v>
      </c>
    </row>
    <row r="214" spans="1:12" x14ac:dyDescent="0.3">
      <c r="A214" s="6" t="s">
        <v>263</v>
      </c>
      <c r="B214" s="6" t="s">
        <v>70</v>
      </c>
      <c r="C214" s="6" t="s">
        <v>80</v>
      </c>
      <c r="D214" s="6">
        <v>2016</v>
      </c>
      <c r="E214" s="6" t="s">
        <v>48</v>
      </c>
      <c r="F214" s="6" t="s">
        <v>19</v>
      </c>
      <c r="G214" s="6" t="s">
        <v>14</v>
      </c>
      <c r="H214" s="7">
        <v>29137.93</v>
      </c>
      <c r="I214" s="7" t="str">
        <f t="shared" si="6"/>
        <v>80k-90k</v>
      </c>
      <c r="J214" s="6">
        <v>1</v>
      </c>
      <c r="K214" s="8">
        <f t="shared" si="7"/>
        <v>29137.93</v>
      </c>
      <c r="L214" s="6" t="s">
        <v>15</v>
      </c>
    </row>
    <row r="215" spans="1:12" x14ac:dyDescent="0.3">
      <c r="A215" s="6" t="s">
        <v>264</v>
      </c>
      <c r="B215" s="6" t="s">
        <v>10</v>
      </c>
      <c r="C215" s="6" t="s">
        <v>110</v>
      </c>
      <c r="D215" s="6">
        <v>2018</v>
      </c>
      <c r="E215" s="6" t="s">
        <v>12</v>
      </c>
      <c r="F215" s="6" t="s">
        <v>19</v>
      </c>
      <c r="G215" s="6" t="s">
        <v>14</v>
      </c>
      <c r="H215" s="7">
        <v>86747.54</v>
      </c>
      <c r="I215" s="7" t="str">
        <f t="shared" si="6"/>
        <v>80k-90k</v>
      </c>
      <c r="J215" s="6">
        <v>8</v>
      </c>
      <c r="K215" s="8">
        <f t="shared" si="7"/>
        <v>693980.32</v>
      </c>
      <c r="L215" s="6" t="s">
        <v>15</v>
      </c>
    </row>
    <row r="216" spans="1:12" x14ac:dyDescent="0.3">
      <c r="A216" s="6" t="s">
        <v>265</v>
      </c>
      <c r="B216" s="6" t="s">
        <v>10</v>
      </c>
      <c r="C216" s="6" t="s">
        <v>30</v>
      </c>
      <c r="D216" s="6">
        <v>2023</v>
      </c>
      <c r="E216" s="6" t="s">
        <v>55</v>
      </c>
      <c r="F216" s="6" t="s">
        <v>35</v>
      </c>
      <c r="G216" s="6" t="s">
        <v>14</v>
      </c>
      <c r="H216" s="7">
        <v>64961.25</v>
      </c>
      <c r="I216" s="7" t="str">
        <f t="shared" si="6"/>
        <v>80k-90k</v>
      </c>
      <c r="J216" s="6">
        <v>6</v>
      </c>
      <c r="K216" s="8">
        <f t="shared" si="7"/>
        <v>389767.5</v>
      </c>
      <c r="L216" s="6" t="s">
        <v>36</v>
      </c>
    </row>
    <row r="217" spans="1:12" x14ac:dyDescent="0.3">
      <c r="A217" s="6" t="s">
        <v>266</v>
      </c>
      <c r="B217" s="6" t="s">
        <v>70</v>
      </c>
      <c r="C217" s="6" t="s">
        <v>80</v>
      </c>
      <c r="D217" s="6">
        <v>2024</v>
      </c>
      <c r="E217" s="6" t="s">
        <v>48</v>
      </c>
      <c r="F217" s="6" t="s">
        <v>19</v>
      </c>
      <c r="G217" s="6" t="s">
        <v>20</v>
      </c>
      <c r="H217" s="7">
        <v>56252.800000000003</v>
      </c>
      <c r="I217" s="7" t="str">
        <f t="shared" si="6"/>
        <v>80k-90k</v>
      </c>
      <c r="J217" s="6">
        <v>20</v>
      </c>
      <c r="K217" s="8">
        <f t="shared" si="7"/>
        <v>1125056</v>
      </c>
      <c r="L217" s="6" t="s">
        <v>36</v>
      </c>
    </row>
    <row r="218" spans="1:12" x14ac:dyDescent="0.3">
      <c r="A218" s="6" t="s">
        <v>267</v>
      </c>
      <c r="B218" s="6" t="s">
        <v>43</v>
      </c>
      <c r="C218" s="6" t="s">
        <v>91</v>
      </c>
      <c r="D218" s="6">
        <v>2025</v>
      </c>
      <c r="E218" s="6" t="s">
        <v>24</v>
      </c>
      <c r="F218" s="6" t="s">
        <v>28</v>
      </c>
      <c r="G218" s="6" t="s">
        <v>14</v>
      </c>
      <c r="H218" s="7">
        <v>66993.77</v>
      </c>
      <c r="I218" s="7" t="str">
        <f t="shared" si="6"/>
        <v>80k-90k</v>
      </c>
      <c r="J218" s="6">
        <v>20</v>
      </c>
      <c r="K218" s="8">
        <f t="shared" si="7"/>
        <v>1339875.4000000001</v>
      </c>
      <c r="L218" s="6" t="s">
        <v>15</v>
      </c>
    </row>
    <row r="219" spans="1:12" x14ac:dyDescent="0.3">
      <c r="A219" s="6" t="s">
        <v>268</v>
      </c>
      <c r="B219" s="6" t="s">
        <v>70</v>
      </c>
      <c r="C219" s="6" t="s">
        <v>114</v>
      </c>
      <c r="D219" s="6">
        <v>2025</v>
      </c>
      <c r="E219" s="6" t="s">
        <v>48</v>
      </c>
      <c r="F219" s="6" t="s">
        <v>19</v>
      </c>
      <c r="G219" s="6" t="s">
        <v>20</v>
      </c>
      <c r="H219" s="7">
        <v>54557.440000000002</v>
      </c>
      <c r="I219" s="7" t="str">
        <f t="shared" si="6"/>
        <v>80k-90k</v>
      </c>
      <c r="J219" s="6">
        <v>6</v>
      </c>
      <c r="K219" s="8">
        <f t="shared" si="7"/>
        <v>327344.64000000001</v>
      </c>
      <c r="L219" s="6" t="s">
        <v>32</v>
      </c>
    </row>
    <row r="220" spans="1:12" x14ac:dyDescent="0.3">
      <c r="A220" s="6" t="s">
        <v>269</v>
      </c>
      <c r="B220" s="6" t="s">
        <v>70</v>
      </c>
      <c r="C220" s="6" t="s">
        <v>71</v>
      </c>
      <c r="D220" s="6">
        <v>2018</v>
      </c>
      <c r="E220" s="6" t="s">
        <v>24</v>
      </c>
      <c r="F220" s="6" t="s">
        <v>19</v>
      </c>
      <c r="G220" s="6" t="s">
        <v>14</v>
      </c>
      <c r="H220" s="7">
        <v>18998.57</v>
      </c>
      <c r="I220" s="7" t="str">
        <f t="shared" si="6"/>
        <v>80k-90k</v>
      </c>
      <c r="J220" s="6">
        <v>10</v>
      </c>
      <c r="K220" s="8">
        <f t="shared" si="7"/>
        <v>189985.7</v>
      </c>
      <c r="L220" s="6" t="s">
        <v>15</v>
      </c>
    </row>
    <row r="221" spans="1:12" x14ac:dyDescent="0.3">
      <c r="A221" s="6" t="s">
        <v>270</v>
      </c>
      <c r="B221" s="6" t="s">
        <v>38</v>
      </c>
      <c r="C221" s="6" t="s">
        <v>96</v>
      </c>
      <c r="D221" s="6">
        <v>2020</v>
      </c>
      <c r="E221" s="6" t="s">
        <v>12</v>
      </c>
      <c r="F221" s="6" t="s">
        <v>35</v>
      </c>
      <c r="G221" s="6" t="s">
        <v>14</v>
      </c>
      <c r="H221" s="7">
        <v>36444.239999999998</v>
      </c>
      <c r="I221" s="7" t="str">
        <f t="shared" si="6"/>
        <v>80k-90k</v>
      </c>
      <c r="J221" s="6">
        <v>2</v>
      </c>
      <c r="K221" s="8">
        <f t="shared" si="7"/>
        <v>72888.479999999996</v>
      </c>
      <c r="L221" s="6" t="s">
        <v>15</v>
      </c>
    </row>
    <row r="222" spans="1:12" x14ac:dyDescent="0.3">
      <c r="A222" s="6" t="s">
        <v>271</v>
      </c>
      <c r="B222" s="6" t="s">
        <v>10</v>
      </c>
      <c r="C222" s="6" t="s">
        <v>11</v>
      </c>
      <c r="D222" s="6">
        <v>2021</v>
      </c>
      <c r="E222" s="6" t="s">
        <v>31</v>
      </c>
      <c r="F222" s="6" t="s">
        <v>13</v>
      </c>
      <c r="G222" s="6" t="s">
        <v>20</v>
      </c>
      <c r="H222" s="7">
        <v>27036.18</v>
      </c>
      <c r="I222" s="7" t="str">
        <f t="shared" si="6"/>
        <v>80k-90k</v>
      </c>
      <c r="J222" s="6">
        <v>0</v>
      </c>
      <c r="K222" s="8">
        <f t="shared" si="7"/>
        <v>0</v>
      </c>
      <c r="L222" s="6" t="s">
        <v>36</v>
      </c>
    </row>
    <row r="223" spans="1:12" x14ac:dyDescent="0.3">
      <c r="A223" s="6" t="s">
        <v>272</v>
      </c>
      <c r="B223" s="6" t="s">
        <v>10</v>
      </c>
      <c r="C223" s="6" t="s">
        <v>11</v>
      </c>
      <c r="D223" s="6">
        <v>2016</v>
      </c>
      <c r="E223" s="6" t="s">
        <v>31</v>
      </c>
      <c r="F223" s="6" t="s">
        <v>35</v>
      </c>
      <c r="G223" s="6" t="s">
        <v>14</v>
      </c>
      <c r="H223" s="7">
        <v>32320.79</v>
      </c>
      <c r="I223" s="7" t="str">
        <f t="shared" si="6"/>
        <v>80k-90k</v>
      </c>
      <c r="J223" s="6">
        <v>14</v>
      </c>
      <c r="K223" s="8">
        <f t="shared" si="7"/>
        <v>452491.06</v>
      </c>
      <c r="L223" s="6" t="s">
        <v>36</v>
      </c>
    </row>
    <row r="224" spans="1:12" x14ac:dyDescent="0.3">
      <c r="A224" s="6" t="s">
        <v>273</v>
      </c>
      <c r="B224" s="6" t="s">
        <v>17</v>
      </c>
      <c r="C224" s="6" t="s">
        <v>46</v>
      </c>
      <c r="D224" s="6">
        <v>2020</v>
      </c>
      <c r="E224" s="6" t="s">
        <v>12</v>
      </c>
      <c r="F224" s="6" t="s">
        <v>35</v>
      </c>
      <c r="G224" s="6" t="s">
        <v>14</v>
      </c>
      <c r="H224" s="7">
        <v>35547.410000000003</v>
      </c>
      <c r="I224" s="7" t="str">
        <f t="shared" si="6"/>
        <v>80k-90k</v>
      </c>
      <c r="J224" s="6">
        <v>0</v>
      </c>
      <c r="K224" s="8">
        <f t="shared" si="7"/>
        <v>0</v>
      </c>
      <c r="L224" s="6" t="s">
        <v>15</v>
      </c>
    </row>
    <row r="225" spans="1:12" x14ac:dyDescent="0.3">
      <c r="A225" s="6" t="s">
        <v>274</v>
      </c>
      <c r="B225" s="6" t="s">
        <v>17</v>
      </c>
      <c r="C225" s="6" t="s">
        <v>46</v>
      </c>
      <c r="D225" s="6">
        <v>2020</v>
      </c>
      <c r="E225" s="6" t="s">
        <v>31</v>
      </c>
      <c r="F225" s="6" t="s">
        <v>13</v>
      </c>
      <c r="G225" s="6" t="s">
        <v>20</v>
      </c>
      <c r="H225" s="7">
        <v>66030.95</v>
      </c>
      <c r="I225" s="7" t="str">
        <f t="shared" si="6"/>
        <v>80k-90k</v>
      </c>
      <c r="J225" s="6">
        <v>5</v>
      </c>
      <c r="K225" s="8">
        <f t="shared" si="7"/>
        <v>330154.75</v>
      </c>
      <c r="L225" s="6" t="s">
        <v>32</v>
      </c>
    </row>
    <row r="226" spans="1:12" x14ac:dyDescent="0.3">
      <c r="A226" s="6" t="s">
        <v>275</v>
      </c>
      <c r="B226" s="6" t="s">
        <v>43</v>
      </c>
      <c r="C226" s="6" t="s">
        <v>91</v>
      </c>
      <c r="D226" s="6">
        <v>2022</v>
      </c>
      <c r="E226" s="6" t="s">
        <v>55</v>
      </c>
      <c r="F226" s="6" t="s">
        <v>19</v>
      </c>
      <c r="G226" s="6" t="s">
        <v>20</v>
      </c>
      <c r="H226" s="7">
        <v>17316.68</v>
      </c>
      <c r="I226" s="7" t="str">
        <f t="shared" si="6"/>
        <v>80k-90k</v>
      </c>
      <c r="J226" s="6">
        <v>19</v>
      </c>
      <c r="K226" s="8">
        <f t="shared" si="7"/>
        <v>329016.92</v>
      </c>
      <c r="L226" s="6" t="s">
        <v>15</v>
      </c>
    </row>
    <row r="227" spans="1:12" x14ac:dyDescent="0.3">
      <c r="A227" s="6" t="s">
        <v>276</v>
      </c>
      <c r="B227" s="6" t="s">
        <v>17</v>
      </c>
      <c r="C227" s="6" t="s">
        <v>46</v>
      </c>
      <c r="D227" s="6">
        <v>2019</v>
      </c>
      <c r="E227" s="6" t="s">
        <v>24</v>
      </c>
      <c r="F227" s="6" t="s">
        <v>13</v>
      </c>
      <c r="G227" s="6" t="s">
        <v>14</v>
      </c>
      <c r="H227" s="7">
        <v>30317.47</v>
      </c>
      <c r="I227" s="7" t="str">
        <f t="shared" si="6"/>
        <v>80k-90k</v>
      </c>
      <c r="J227" s="6">
        <v>18</v>
      </c>
      <c r="K227" s="8">
        <f t="shared" si="7"/>
        <v>545714.46</v>
      </c>
      <c r="L227" s="6" t="s">
        <v>36</v>
      </c>
    </row>
    <row r="228" spans="1:12" x14ac:dyDescent="0.3">
      <c r="A228" s="6" t="s">
        <v>277</v>
      </c>
      <c r="B228" s="6" t="s">
        <v>38</v>
      </c>
      <c r="C228" s="6" t="s">
        <v>96</v>
      </c>
      <c r="D228" s="6">
        <v>2016</v>
      </c>
      <c r="E228" s="6" t="s">
        <v>31</v>
      </c>
      <c r="F228" s="6" t="s">
        <v>35</v>
      </c>
      <c r="G228" s="6" t="s">
        <v>20</v>
      </c>
      <c r="H228" s="7">
        <v>73197.25</v>
      </c>
      <c r="I228" s="7" t="str">
        <f t="shared" si="6"/>
        <v>80k-90k</v>
      </c>
      <c r="J228" s="6">
        <v>6</v>
      </c>
      <c r="K228" s="8">
        <f t="shared" si="7"/>
        <v>439183.5</v>
      </c>
      <c r="L228" s="6" t="s">
        <v>15</v>
      </c>
    </row>
    <row r="229" spans="1:12" x14ac:dyDescent="0.3">
      <c r="A229" s="6" t="s">
        <v>278</v>
      </c>
      <c r="B229" s="6" t="s">
        <v>43</v>
      </c>
      <c r="C229" s="6" t="s">
        <v>44</v>
      </c>
      <c r="D229" s="6">
        <v>2015</v>
      </c>
      <c r="E229" s="6" t="s">
        <v>31</v>
      </c>
      <c r="F229" s="6" t="s">
        <v>28</v>
      </c>
      <c r="G229" s="6" t="s">
        <v>14</v>
      </c>
      <c r="H229" s="7">
        <v>33511.99</v>
      </c>
      <c r="I229" s="7" t="str">
        <f t="shared" si="6"/>
        <v>80k-90k</v>
      </c>
      <c r="J229" s="6">
        <v>10</v>
      </c>
      <c r="K229" s="8">
        <f t="shared" si="7"/>
        <v>335119.89999999997</v>
      </c>
      <c r="L229" s="6" t="s">
        <v>32</v>
      </c>
    </row>
    <row r="230" spans="1:12" x14ac:dyDescent="0.3">
      <c r="A230" s="6" t="s">
        <v>279</v>
      </c>
      <c r="B230" s="6" t="s">
        <v>10</v>
      </c>
      <c r="C230" s="6" t="s">
        <v>110</v>
      </c>
      <c r="D230" s="6">
        <v>2021</v>
      </c>
      <c r="E230" s="6" t="s">
        <v>40</v>
      </c>
      <c r="F230" s="6" t="s">
        <v>13</v>
      </c>
      <c r="G230" s="6" t="s">
        <v>20</v>
      </c>
      <c r="H230" s="7">
        <v>80597.19</v>
      </c>
      <c r="I230" s="7" t="str">
        <f t="shared" si="6"/>
        <v>80k-90k</v>
      </c>
      <c r="J230" s="6">
        <v>0</v>
      </c>
      <c r="K230" s="8">
        <f t="shared" si="7"/>
        <v>0</v>
      </c>
      <c r="L230" s="6" t="s">
        <v>36</v>
      </c>
    </row>
    <row r="231" spans="1:12" x14ac:dyDescent="0.3">
      <c r="A231" s="6" t="s">
        <v>280</v>
      </c>
      <c r="B231" s="6" t="s">
        <v>70</v>
      </c>
      <c r="C231" s="6" t="s">
        <v>80</v>
      </c>
      <c r="D231" s="6">
        <v>2022</v>
      </c>
      <c r="E231" s="6" t="s">
        <v>55</v>
      </c>
      <c r="F231" s="6" t="s">
        <v>13</v>
      </c>
      <c r="G231" s="6" t="s">
        <v>20</v>
      </c>
      <c r="H231" s="7">
        <v>49689.9</v>
      </c>
      <c r="I231" s="7" t="str">
        <f t="shared" si="6"/>
        <v>80k-90k</v>
      </c>
      <c r="J231" s="6">
        <v>18</v>
      </c>
      <c r="K231" s="8">
        <f t="shared" si="7"/>
        <v>894418.20000000007</v>
      </c>
      <c r="L231" s="6" t="s">
        <v>15</v>
      </c>
    </row>
    <row r="232" spans="1:12" x14ac:dyDescent="0.3">
      <c r="A232" s="6" t="s">
        <v>281</v>
      </c>
      <c r="B232" s="6" t="s">
        <v>43</v>
      </c>
      <c r="C232" s="6" t="s">
        <v>44</v>
      </c>
      <c r="D232" s="6">
        <v>2016</v>
      </c>
      <c r="E232" s="6" t="s">
        <v>24</v>
      </c>
      <c r="F232" s="6" t="s">
        <v>28</v>
      </c>
      <c r="G232" s="6" t="s">
        <v>14</v>
      </c>
      <c r="H232" s="7">
        <v>75684.259999999995</v>
      </c>
      <c r="I232" s="7" t="str">
        <f t="shared" si="6"/>
        <v>80k-90k</v>
      </c>
      <c r="J232" s="6">
        <v>17</v>
      </c>
      <c r="K232" s="8">
        <f t="shared" si="7"/>
        <v>1286632.42</v>
      </c>
      <c r="L232" s="6" t="s">
        <v>32</v>
      </c>
    </row>
    <row r="233" spans="1:12" x14ac:dyDescent="0.3">
      <c r="A233" s="6" t="s">
        <v>282</v>
      </c>
      <c r="B233" s="6" t="s">
        <v>10</v>
      </c>
      <c r="C233" s="6" t="s">
        <v>11</v>
      </c>
      <c r="D233" s="6">
        <v>2024</v>
      </c>
      <c r="E233" s="6" t="s">
        <v>31</v>
      </c>
      <c r="F233" s="6" t="s">
        <v>13</v>
      </c>
      <c r="G233" s="6" t="s">
        <v>20</v>
      </c>
      <c r="H233" s="7">
        <v>41318.81</v>
      </c>
      <c r="I233" s="7" t="str">
        <f t="shared" si="6"/>
        <v>80k-90k</v>
      </c>
      <c r="J233" s="6">
        <v>17</v>
      </c>
      <c r="K233" s="8">
        <f t="shared" si="7"/>
        <v>702419.77</v>
      </c>
      <c r="L233" s="6" t="s">
        <v>15</v>
      </c>
    </row>
    <row r="234" spans="1:12" x14ac:dyDescent="0.3">
      <c r="A234" s="6" t="s">
        <v>283</v>
      </c>
      <c r="B234" s="6" t="s">
        <v>38</v>
      </c>
      <c r="C234" s="6" t="s">
        <v>96</v>
      </c>
      <c r="D234" s="6">
        <v>2018</v>
      </c>
      <c r="E234" s="6" t="s">
        <v>40</v>
      </c>
      <c r="F234" s="6" t="s">
        <v>35</v>
      </c>
      <c r="G234" s="6" t="s">
        <v>14</v>
      </c>
      <c r="H234" s="7">
        <v>93984.87</v>
      </c>
      <c r="I234" s="7" t="str">
        <f t="shared" si="6"/>
        <v>90k-1L</v>
      </c>
      <c r="J234" s="6">
        <v>17</v>
      </c>
      <c r="K234" s="8">
        <f t="shared" si="7"/>
        <v>1597742.79</v>
      </c>
      <c r="L234" s="6" t="s">
        <v>32</v>
      </c>
    </row>
    <row r="235" spans="1:12" x14ac:dyDescent="0.3">
      <c r="A235" s="6" t="s">
        <v>284</v>
      </c>
      <c r="B235" s="6" t="s">
        <v>10</v>
      </c>
      <c r="C235" s="6" t="s">
        <v>110</v>
      </c>
      <c r="D235" s="6">
        <v>2016</v>
      </c>
      <c r="E235" s="6" t="s">
        <v>24</v>
      </c>
      <c r="F235" s="6" t="s">
        <v>19</v>
      </c>
      <c r="G235" s="6" t="s">
        <v>14</v>
      </c>
      <c r="H235" s="7">
        <v>34356.67</v>
      </c>
      <c r="I235" s="7" t="str">
        <f t="shared" si="6"/>
        <v>80k-90k</v>
      </c>
      <c r="J235" s="6">
        <v>15</v>
      </c>
      <c r="K235" s="8">
        <f t="shared" si="7"/>
        <v>515350.05</v>
      </c>
      <c r="L235" s="6" t="s">
        <v>15</v>
      </c>
    </row>
    <row r="236" spans="1:12" x14ac:dyDescent="0.3">
      <c r="A236" s="6" t="s">
        <v>285</v>
      </c>
      <c r="B236" s="6" t="s">
        <v>22</v>
      </c>
      <c r="C236" s="6" t="s">
        <v>23</v>
      </c>
      <c r="D236" s="6">
        <v>2022</v>
      </c>
      <c r="E236" s="6" t="s">
        <v>40</v>
      </c>
      <c r="F236" s="6" t="s">
        <v>35</v>
      </c>
      <c r="G236" s="6" t="s">
        <v>14</v>
      </c>
      <c r="H236" s="7">
        <v>78320.67</v>
      </c>
      <c r="I236" s="7" t="str">
        <f t="shared" si="6"/>
        <v>80k-90k</v>
      </c>
      <c r="J236" s="6">
        <v>11</v>
      </c>
      <c r="K236" s="8">
        <f t="shared" si="7"/>
        <v>861527.37</v>
      </c>
      <c r="L236" s="6" t="s">
        <v>15</v>
      </c>
    </row>
    <row r="237" spans="1:12" x14ac:dyDescent="0.3">
      <c r="A237" s="6" t="s">
        <v>286</v>
      </c>
      <c r="B237" s="6" t="s">
        <v>70</v>
      </c>
      <c r="C237" s="6" t="s">
        <v>114</v>
      </c>
      <c r="D237" s="6">
        <v>2024</v>
      </c>
      <c r="E237" s="6" t="s">
        <v>48</v>
      </c>
      <c r="F237" s="6" t="s">
        <v>13</v>
      </c>
      <c r="G237" s="6" t="s">
        <v>14</v>
      </c>
      <c r="H237" s="7">
        <v>40425.82</v>
      </c>
      <c r="I237" s="7" t="str">
        <f t="shared" si="6"/>
        <v>80k-90k</v>
      </c>
      <c r="J237" s="6">
        <v>2</v>
      </c>
      <c r="K237" s="8">
        <f t="shared" si="7"/>
        <v>80851.64</v>
      </c>
      <c r="L237" s="6" t="s">
        <v>36</v>
      </c>
    </row>
    <row r="238" spans="1:12" x14ac:dyDescent="0.3">
      <c r="A238" s="6" t="s">
        <v>287</v>
      </c>
      <c r="B238" s="6" t="s">
        <v>38</v>
      </c>
      <c r="C238" s="6" t="s">
        <v>96</v>
      </c>
      <c r="D238" s="6">
        <v>2019</v>
      </c>
      <c r="E238" s="6" t="s">
        <v>48</v>
      </c>
      <c r="F238" s="6" t="s">
        <v>19</v>
      </c>
      <c r="G238" s="6" t="s">
        <v>20</v>
      </c>
      <c r="H238" s="7">
        <v>99664.31</v>
      </c>
      <c r="I238" s="7" t="str">
        <f t="shared" si="6"/>
        <v>90k-1L</v>
      </c>
      <c r="J238" s="6">
        <v>14</v>
      </c>
      <c r="K238" s="8">
        <f t="shared" si="7"/>
        <v>1395300.3399999999</v>
      </c>
      <c r="L238" s="6" t="s">
        <v>36</v>
      </c>
    </row>
    <row r="239" spans="1:12" x14ac:dyDescent="0.3">
      <c r="A239" s="6" t="s">
        <v>288</v>
      </c>
      <c r="B239" s="6" t="s">
        <v>38</v>
      </c>
      <c r="C239" s="6" t="s">
        <v>96</v>
      </c>
      <c r="D239" s="6">
        <v>2018</v>
      </c>
      <c r="E239" s="6" t="s">
        <v>24</v>
      </c>
      <c r="F239" s="6" t="s">
        <v>28</v>
      </c>
      <c r="G239" s="6" t="s">
        <v>20</v>
      </c>
      <c r="H239" s="7">
        <v>92692.93</v>
      </c>
      <c r="I239" s="7" t="str">
        <f t="shared" si="6"/>
        <v>90k-1L</v>
      </c>
      <c r="J239" s="6">
        <v>6</v>
      </c>
      <c r="K239" s="8">
        <f t="shared" si="7"/>
        <v>556157.57999999996</v>
      </c>
      <c r="L239" s="6" t="s">
        <v>32</v>
      </c>
    </row>
    <row r="240" spans="1:12" x14ac:dyDescent="0.3">
      <c r="A240" s="6" t="s">
        <v>289</v>
      </c>
      <c r="B240" s="6" t="s">
        <v>43</v>
      </c>
      <c r="C240" s="6" t="s">
        <v>91</v>
      </c>
      <c r="D240" s="6">
        <v>2022</v>
      </c>
      <c r="E240" s="6" t="s">
        <v>40</v>
      </c>
      <c r="F240" s="6" t="s">
        <v>19</v>
      </c>
      <c r="G240" s="6" t="s">
        <v>14</v>
      </c>
      <c r="H240" s="7">
        <v>23452.33</v>
      </c>
      <c r="I240" s="7" t="str">
        <f t="shared" si="6"/>
        <v>80k-90k</v>
      </c>
      <c r="J240" s="6">
        <v>16</v>
      </c>
      <c r="K240" s="8">
        <f t="shared" si="7"/>
        <v>375237.28</v>
      </c>
      <c r="L240" s="6" t="s">
        <v>15</v>
      </c>
    </row>
    <row r="241" spans="1:12" x14ac:dyDescent="0.3">
      <c r="A241" s="6" t="s">
        <v>290</v>
      </c>
      <c r="B241" s="6" t="s">
        <v>10</v>
      </c>
      <c r="C241" s="6" t="s">
        <v>11</v>
      </c>
      <c r="D241" s="6">
        <v>2019</v>
      </c>
      <c r="E241" s="6" t="s">
        <v>24</v>
      </c>
      <c r="F241" s="6" t="s">
        <v>19</v>
      </c>
      <c r="G241" s="6" t="s">
        <v>14</v>
      </c>
      <c r="H241" s="7">
        <v>84197.99</v>
      </c>
      <c r="I241" s="7" t="str">
        <f t="shared" si="6"/>
        <v>80k-90k</v>
      </c>
      <c r="J241" s="6">
        <v>14</v>
      </c>
      <c r="K241" s="8">
        <f t="shared" si="7"/>
        <v>1178771.8600000001</v>
      </c>
      <c r="L241" s="6" t="s">
        <v>15</v>
      </c>
    </row>
    <row r="242" spans="1:12" x14ac:dyDescent="0.3">
      <c r="A242" s="6" t="s">
        <v>291</v>
      </c>
      <c r="B242" s="6" t="s">
        <v>43</v>
      </c>
      <c r="C242" s="6" t="s">
        <v>91</v>
      </c>
      <c r="D242" s="6">
        <v>2025</v>
      </c>
      <c r="E242" s="6" t="s">
        <v>48</v>
      </c>
      <c r="F242" s="6" t="s">
        <v>19</v>
      </c>
      <c r="G242" s="6" t="s">
        <v>20</v>
      </c>
      <c r="H242" s="7">
        <v>56336.78</v>
      </c>
      <c r="I242" s="7" t="str">
        <f t="shared" si="6"/>
        <v>80k-90k</v>
      </c>
      <c r="J242" s="6">
        <v>0</v>
      </c>
      <c r="K242" s="8">
        <f t="shared" si="7"/>
        <v>0</v>
      </c>
      <c r="L242" s="6" t="s">
        <v>36</v>
      </c>
    </row>
    <row r="243" spans="1:12" x14ac:dyDescent="0.3">
      <c r="A243" s="6" t="s">
        <v>292</v>
      </c>
      <c r="B243" s="6" t="s">
        <v>10</v>
      </c>
      <c r="C243" s="6" t="s">
        <v>30</v>
      </c>
      <c r="D243" s="6">
        <v>2018</v>
      </c>
      <c r="E243" s="6" t="s">
        <v>12</v>
      </c>
      <c r="F243" s="6" t="s">
        <v>28</v>
      </c>
      <c r="G243" s="6" t="s">
        <v>14</v>
      </c>
      <c r="H243" s="7">
        <v>48576.42</v>
      </c>
      <c r="I243" s="7" t="str">
        <f t="shared" si="6"/>
        <v>80k-90k</v>
      </c>
      <c r="J243" s="6">
        <v>10</v>
      </c>
      <c r="K243" s="8">
        <f t="shared" si="7"/>
        <v>485764.19999999995</v>
      </c>
      <c r="L243" s="6" t="s">
        <v>15</v>
      </c>
    </row>
    <row r="244" spans="1:12" x14ac:dyDescent="0.3">
      <c r="A244" s="6" t="s">
        <v>293</v>
      </c>
      <c r="B244" s="6" t="s">
        <v>17</v>
      </c>
      <c r="C244" s="6" t="s">
        <v>62</v>
      </c>
      <c r="D244" s="6">
        <v>2018</v>
      </c>
      <c r="E244" s="6" t="s">
        <v>12</v>
      </c>
      <c r="F244" s="6" t="s">
        <v>13</v>
      </c>
      <c r="G244" s="6" t="s">
        <v>14</v>
      </c>
      <c r="H244" s="7">
        <v>68211.039999999994</v>
      </c>
      <c r="I244" s="7" t="str">
        <f t="shared" si="6"/>
        <v>80k-90k</v>
      </c>
      <c r="J244" s="6">
        <v>0</v>
      </c>
      <c r="K244" s="8">
        <f t="shared" si="7"/>
        <v>0</v>
      </c>
      <c r="L244" s="6" t="s">
        <v>15</v>
      </c>
    </row>
    <row r="245" spans="1:12" x14ac:dyDescent="0.3">
      <c r="A245" s="6" t="s">
        <v>294</v>
      </c>
      <c r="B245" s="6" t="s">
        <v>17</v>
      </c>
      <c r="C245" s="6" t="s">
        <v>46</v>
      </c>
      <c r="D245" s="6">
        <v>2018</v>
      </c>
      <c r="E245" s="6" t="s">
        <v>48</v>
      </c>
      <c r="F245" s="6" t="s">
        <v>28</v>
      </c>
      <c r="G245" s="6" t="s">
        <v>14</v>
      </c>
      <c r="H245" s="7">
        <v>63692.99</v>
      </c>
      <c r="I245" s="7" t="str">
        <f t="shared" si="6"/>
        <v>80k-90k</v>
      </c>
      <c r="J245" s="6">
        <v>3</v>
      </c>
      <c r="K245" s="8">
        <f t="shared" si="7"/>
        <v>191078.97</v>
      </c>
      <c r="L245" s="6" t="s">
        <v>32</v>
      </c>
    </row>
    <row r="246" spans="1:12" x14ac:dyDescent="0.3">
      <c r="A246" s="6" t="s">
        <v>295</v>
      </c>
      <c r="B246" s="6" t="s">
        <v>17</v>
      </c>
      <c r="C246" s="6" t="s">
        <v>62</v>
      </c>
      <c r="D246" s="6">
        <v>2025</v>
      </c>
      <c r="E246" s="6" t="s">
        <v>24</v>
      </c>
      <c r="F246" s="6" t="s">
        <v>28</v>
      </c>
      <c r="G246" s="6" t="s">
        <v>20</v>
      </c>
      <c r="H246" s="7">
        <v>67286.720000000001</v>
      </c>
      <c r="I246" s="7" t="str">
        <f t="shared" si="6"/>
        <v>80k-90k</v>
      </c>
      <c r="J246" s="6">
        <v>4</v>
      </c>
      <c r="K246" s="8">
        <f t="shared" si="7"/>
        <v>269146.88</v>
      </c>
      <c r="L246" s="6" t="s">
        <v>15</v>
      </c>
    </row>
    <row r="247" spans="1:12" x14ac:dyDescent="0.3">
      <c r="A247" s="6" t="s">
        <v>296</v>
      </c>
      <c r="B247" s="6" t="s">
        <v>38</v>
      </c>
      <c r="C247" s="6" t="s">
        <v>65</v>
      </c>
      <c r="D247" s="6">
        <v>2021</v>
      </c>
      <c r="E247" s="6" t="s">
        <v>55</v>
      </c>
      <c r="F247" s="6" t="s">
        <v>35</v>
      </c>
      <c r="G247" s="6" t="s">
        <v>14</v>
      </c>
      <c r="H247" s="7">
        <v>59861.26</v>
      </c>
      <c r="I247" s="7" t="str">
        <f t="shared" si="6"/>
        <v>80k-90k</v>
      </c>
      <c r="J247" s="6">
        <v>16</v>
      </c>
      <c r="K247" s="8">
        <f t="shared" si="7"/>
        <v>957780.16</v>
      </c>
      <c r="L247" s="6" t="s">
        <v>15</v>
      </c>
    </row>
    <row r="248" spans="1:12" x14ac:dyDescent="0.3">
      <c r="A248" s="6" t="s">
        <v>297</v>
      </c>
      <c r="B248" s="6" t="s">
        <v>38</v>
      </c>
      <c r="C248" s="6" t="s">
        <v>39</v>
      </c>
      <c r="D248" s="6">
        <v>2015</v>
      </c>
      <c r="E248" s="6" t="s">
        <v>55</v>
      </c>
      <c r="F248" s="6" t="s">
        <v>28</v>
      </c>
      <c r="G248" s="6" t="s">
        <v>20</v>
      </c>
      <c r="H248" s="7">
        <v>70409.5</v>
      </c>
      <c r="I248" s="7" t="str">
        <f t="shared" si="6"/>
        <v>80k-90k</v>
      </c>
      <c r="J248" s="6">
        <v>20</v>
      </c>
      <c r="K248" s="8">
        <f t="shared" si="7"/>
        <v>1408190</v>
      </c>
      <c r="L248" s="6" t="s">
        <v>15</v>
      </c>
    </row>
    <row r="249" spans="1:12" x14ac:dyDescent="0.3">
      <c r="A249" s="6" t="s">
        <v>298</v>
      </c>
      <c r="B249" s="6" t="s">
        <v>38</v>
      </c>
      <c r="C249" s="6" t="s">
        <v>96</v>
      </c>
      <c r="D249" s="6">
        <v>2022</v>
      </c>
      <c r="E249" s="6" t="s">
        <v>24</v>
      </c>
      <c r="F249" s="6" t="s">
        <v>13</v>
      </c>
      <c r="G249" s="6" t="s">
        <v>14</v>
      </c>
      <c r="H249" s="7">
        <v>45148.19</v>
      </c>
      <c r="I249" s="7" t="str">
        <f t="shared" si="6"/>
        <v>80k-90k</v>
      </c>
      <c r="J249" s="6">
        <v>2</v>
      </c>
      <c r="K249" s="8">
        <f t="shared" si="7"/>
        <v>90296.38</v>
      </c>
      <c r="L249" s="6" t="s">
        <v>15</v>
      </c>
    </row>
    <row r="250" spans="1:12" x14ac:dyDescent="0.3">
      <c r="A250" s="6" t="s">
        <v>299</v>
      </c>
      <c r="B250" s="6" t="s">
        <v>22</v>
      </c>
      <c r="C250" s="6" t="s">
        <v>23</v>
      </c>
      <c r="D250" s="6">
        <v>2016</v>
      </c>
      <c r="E250" s="6" t="s">
        <v>40</v>
      </c>
      <c r="F250" s="6" t="s">
        <v>28</v>
      </c>
      <c r="G250" s="6" t="s">
        <v>20</v>
      </c>
      <c r="H250" s="7">
        <v>72386.63</v>
      </c>
      <c r="I250" s="7" t="str">
        <f t="shared" si="6"/>
        <v>80k-90k</v>
      </c>
      <c r="J250" s="6">
        <v>14</v>
      </c>
      <c r="K250" s="8">
        <f t="shared" si="7"/>
        <v>1013412.8200000001</v>
      </c>
      <c r="L250" s="6" t="s">
        <v>32</v>
      </c>
    </row>
    <row r="251" spans="1:12" x14ac:dyDescent="0.3">
      <c r="A251" s="6" t="s">
        <v>300</v>
      </c>
      <c r="B251" s="6" t="s">
        <v>26</v>
      </c>
      <c r="C251" s="6" t="s">
        <v>74</v>
      </c>
      <c r="D251" s="6">
        <v>2021</v>
      </c>
      <c r="E251" s="6" t="s">
        <v>31</v>
      </c>
      <c r="F251" s="6" t="s">
        <v>13</v>
      </c>
      <c r="G251" s="6" t="s">
        <v>20</v>
      </c>
      <c r="H251" s="7">
        <v>65306.64</v>
      </c>
      <c r="I251" s="7" t="str">
        <f t="shared" si="6"/>
        <v>80k-90k</v>
      </c>
      <c r="J251" s="6">
        <v>16</v>
      </c>
      <c r="K251" s="8">
        <f t="shared" si="7"/>
        <v>1044906.24</v>
      </c>
      <c r="L251" s="6" t="s">
        <v>15</v>
      </c>
    </row>
    <row r="252" spans="1:12" x14ac:dyDescent="0.3">
      <c r="A252" s="6" t="s">
        <v>301</v>
      </c>
      <c r="B252" s="6" t="s">
        <v>22</v>
      </c>
      <c r="C252" s="6" t="s">
        <v>23</v>
      </c>
      <c r="D252" s="6">
        <v>2020</v>
      </c>
      <c r="E252" s="6" t="s">
        <v>40</v>
      </c>
      <c r="F252" s="6" t="s">
        <v>35</v>
      </c>
      <c r="G252" s="6" t="s">
        <v>14</v>
      </c>
      <c r="H252" s="7">
        <v>80442.75</v>
      </c>
      <c r="I252" s="7" t="str">
        <f t="shared" si="6"/>
        <v>80k-90k</v>
      </c>
      <c r="J252" s="6">
        <v>12</v>
      </c>
      <c r="K252" s="8">
        <f t="shared" si="7"/>
        <v>965313</v>
      </c>
      <c r="L252" s="6" t="s">
        <v>15</v>
      </c>
    </row>
    <row r="253" spans="1:12" x14ac:dyDescent="0.3">
      <c r="A253" s="6" t="s">
        <v>302</v>
      </c>
      <c r="B253" s="6" t="s">
        <v>26</v>
      </c>
      <c r="C253" s="6" t="s">
        <v>27</v>
      </c>
      <c r="D253" s="6">
        <v>2017</v>
      </c>
      <c r="E253" s="6" t="s">
        <v>12</v>
      </c>
      <c r="F253" s="6" t="s">
        <v>28</v>
      </c>
      <c r="G253" s="6" t="s">
        <v>20</v>
      </c>
      <c r="H253" s="7">
        <v>77125.679999999993</v>
      </c>
      <c r="I253" s="7" t="str">
        <f t="shared" si="6"/>
        <v>80k-90k</v>
      </c>
      <c r="J253" s="6">
        <v>5</v>
      </c>
      <c r="K253" s="8">
        <f t="shared" si="7"/>
        <v>385628.39999999997</v>
      </c>
      <c r="L253" s="6" t="s">
        <v>15</v>
      </c>
    </row>
    <row r="254" spans="1:12" x14ac:dyDescent="0.3">
      <c r="A254" s="6" t="s">
        <v>303</v>
      </c>
      <c r="B254" s="6" t="s">
        <v>70</v>
      </c>
      <c r="C254" s="6" t="s">
        <v>114</v>
      </c>
      <c r="D254" s="6">
        <v>2015</v>
      </c>
      <c r="E254" s="6" t="s">
        <v>24</v>
      </c>
      <c r="F254" s="6" t="s">
        <v>19</v>
      </c>
      <c r="G254" s="6" t="s">
        <v>20</v>
      </c>
      <c r="H254" s="7">
        <v>65579.25</v>
      </c>
      <c r="I254" s="7" t="str">
        <f t="shared" si="6"/>
        <v>80k-90k</v>
      </c>
      <c r="J254" s="6">
        <v>4</v>
      </c>
      <c r="K254" s="8">
        <f t="shared" si="7"/>
        <v>262317</v>
      </c>
      <c r="L254" s="6" t="s">
        <v>15</v>
      </c>
    </row>
    <row r="255" spans="1:12" x14ac:dyDescent="0.3">
      <c r="A255" s="6" t="s">
        <v>304</v>
      </c>
      <c r="B255" s="6" t="s">
        <v>22</v>
      </c>
      <c r="C255" s="6" t="s">
        <v>105</v>
      </c>
      <c r="D255" s="6">
        <v>2023</v>
      </c>
      <c r="E255" s="6" t="s">
        <v>12</v>
      </c>
      <c r="F255" s="6" t="s">
        <v>13</v>
      </c>
      <c r="G255" s="6" t="s">
        <v>14</v>
      </c>
      <c r="H255" s="7">
        <v>40904.29</v>
      </c>
      <c r="I255" s="7" t="str">
        <f t="shared" si="6"/>
        <v>80k-90k</v>
      </c>
      <c r="J255" s="6">
        <v>14</v>
      </c>
      <c r="K255" s="8">
        <f t="shared" si="7"/>
        <v>572660.06000000006</v>
      </c>
      <c r="L255" s="6" t="s">
        <v>32</v>
      </c>
    </row>
    <row r="256" spans="1:12" x14ac:dyDescent="0.3">
      <c r="A256" s="6" t="s">
        <v>305</v>
      </c>
      <c r="B256" s="6" t="s">
        <v>43</v>
      </c>
      <c r="C256" s="6" t="s">
        <v>93</v>
      </c>
      <c r="D256" s="6">
        <v>2025</v>
      </c>
      <c r="E256" s="6" t="s">
        <v>24</v>
      </c>
      <c r="F256" s="6" t="s">
        <v>35</v>
      </c>
      <c r="G256" s="6" t="s">
        <v>14</v>
      </c>
      <c r="H256" s="7">
        <v>34442.589999999997</v>
      </c>
      <c r="I256" s="7" t="str">
        <f t="shared" si="6"/>
        <v>80k-90k</v>
      </c>
      <c r="J256" s="6">
        <v>10</v>
      </c>
      <c r="K256" s="8">
        <f t="shared" si="7"/>
        <v>344425.89999999997</v>
      </c>
      <c r="L256" s="6" t="s">
        <v>32</v>
      </c>
    </row>
    <row r="257" spans="1:12" x14ac:dyDescent="0.3">
      <c r="A257" s="6" t="s">
        <v>306</v>
      </c>
      <c r="B257" s="6" t="s">
        <v>43</v>
      </c>
      <c r="C257" s="6" t="s">
        <v>91</v>
      </c>
      <c r="D257" s="6">
        <v>2025</v>
      </c>
      <c r="E257" s="6" t="s">
        <v>55</v>
      </c>
      <c r="F257" s="6" t="s">
        <v>13</v>
      </c>
      <c r="G257" s="6" t="s">
        <v>14</v>
      </c>
      <c r="H257" s="7">
        <v>16073.13</v>
      </c>
      <c r="I257" s="7" t="str">
        <f t="shared" si="6"/>
        <v>80k-90k</v>
      </c>
      <c r="J257" s="6">
        <v>0</v>
      </c>
      <c r="K257" s="8">
        <f t="shared" si="7"/>
        <v>0</v>
      </c>
      <c r="L257" s="6" t="s">
        <v>32</v>
      </c>
    </row>
    <row r="258" spans="1:12" x14ac:dyDescent="0.3">
      <c r="A258" s="6" t="s">
        <v>307</v>
      </c>
      <c r="B258" s="6" t="s">
        <v>22</v>
      </c>
      <c r="C258" s="6" t="s">
        <v>23</v>
      </c>
      <c r="D258" s="6">
        <v>2019</v>
      </c>
      <c r="E258" s="6" t="s">
        <v>40</v>
      </c>
      <c r="F258" s="6" t="s">
        <v>35</v>
      </c>
      <c r="G258" s="6" t="s">
        <v>20</v>
      </c>
      <c r="H258" s="7">
        <v>69403.31</v>
      </c>
      <c r="I258" s="7" t="str">
        <f t="shared" ref="I258:I321" si="8">IF(H258&lt;90000,"80k-90k",IF(H258&lt;100000,"90k-1L","1L+"))</f>
        <v>80k-90k</v>
      </c>
      <c r="J258" s="6">
        <v>19</v>
      </c>
      <c r="K258" s="8">
        <f t="shared" ref="K258:K321" si="9">PRODUCT(H258*J258)</f>
        <v>1318662.8899999999</v>
      </c>
      <c r="L258" s="6" t="s">
        <v>15</v>
      </c>
    </row>
    <row r="259" spans="1:12" x14ac:dyDescent="0.3">
      <c r="A259" s="6" t="s">
        <v>308</v>
      </c>
      <c r="B259" s="6" t="s">
        <v>43</v>
      </c>
      <c r="C259" s="6" t="s">
        <v>44</v>
      </c>
      <c r="D259" s="6">
        <v>2024</v>
      </c>
      <c r="E259" s="6" t="s">
        <v>24</v>
      </c>
      <c r="F259" s="6" t="s">
        <v>35</v>
      </c>
      <c r="G259" s="6" t="s">
        <v>20</v>
      </c>
      <c r="H259" s="7">
        <v>36852.07</v>
      </c>
      <c r="I259" s="7" t="str">
        <f t="shared" si="8"/>
        <v>80k-90k</v>
      </c>
      <c r="J259" s="6">
        <v>3</v>
      </c>
      <c r="K259" s="8">
        <f t="shared" si="9"/>
        <v>110556.20999999999</v>
      </c>
      <c r="L259" s="6" t="s">
        <v>36</v>
      </c>
    </row>
    <row r="260" spans="1:12" x14ac:dyDescent="0.3">
      <c r="A260" s="6" t="s">
        <v>309</v>
      </c>
      <c r="B260" s="6" t="s">
        <v>10</v>
      </c>
      <c r="C260" s="6" t="s">
        <v>110</v>
      </c>
      <c r="D260" s="6">
        <v>2023</v>
      </c>
      <c r="E260" s="6" t="s">
        <v>55</v>
      </c>
      <c r="F260" s="6" t="s">
        <v>19</v>
      </c>
      <c r="G260" s="6" t="s">
        <v>14</v>
      </c>
      <c r="H260" s="7">
        <v>76450.539999999994</v>
      </c>
      <c r="I260" s="7" t="str">
        <f t="shared" si="8"/>
        <v>80k-90k</v>
      </c>
      <c r="J260" s="6">
        <v>0</v>
      </c>
      <c r="K260" s="8">
        <f t="shared" si="9"/>
        <v>0</v>
      </c>
      <c r="L260" s="6" t="s">
        <v>15</v>
      </c>
    </row>
    <row r="261" spans="1:12" x14ac:dyDescent="0.3">
      <c r="A261" s="6" t="s">
        <v>310</v>
      </c>
      <c r="B261" s="6" t="s">
        <v>70</v>
      </c>
      <c r="C261" s="6" t="s">
        <v>71</v>
      </c>
      <c r="D261" s="6">
        <v>2024</v>
      </c>
      <c r="E261" s="6" t="s">
        <v>55</v>
      </c>
      <c r="F261" s="6" t="s">
        <v>35</v>
      </c>
      <c r="G261" s="6" t="s">
        <v>20</v>
      </c>
      <c r="H261" s="7">
        <v>15432.72</v>
      </c>
      <c r="I261" s="7" t="str">
        <f t="shared" si="8"/>
        <v>80k-90k</v>
      </c>
      <c r="J261" s="6">
        <v>0</v>
      </c>
      <c r="K261" s="8">
        <f t="shared" si="9"/>
        <v>0</v>
      </c>
      <c r="L261" s="6" t="s">
        <v>15</v>
      </c>
    </row>
    <row r="262" spans="1:12" x14ac:dyDescent="0.3">
      <c r="A262" s="6" t="s">
        <v>311</v>
      </c>
      <c r="B262" s="6" t="s">
        <v>17</v>
      </c>
      <c r="C262" s="6" t="s">
        <v>46</v>
      </c>
      <c r="D262" s="6">
        <v>2024</v>
      </c>
      <c r="E262" s="6" t="s">
        <v>55</v>
      </c>
      <c r="F262" s="6" t="s">
        <v>28</v>
      </c>
      <c r="G262" s="6" t="s">
        <v>14</v>
      </c>
      <c r="H262" s="7">
        <v>75764.509999999995</v>
      </c>
      <c r="I262" s="7" t="str">
        <f t="shared" si="8"/>
        <v>80k-90k</v>
      </c>
      <c r="J262" s="6">
        <v>2</v>
      </c>
      <c r="K262" s="8">
        <f t="shared" si="9"/>
        <v>151529.01999999999</v>
      </c>
      <c r="L262" s="6" t="s">
        <v>36</v>
      </c>
    </row>
    <row r="263" spans="1:12" x14ac:dyDescent="0.3">
      <c r="A263" s="6" t="s">
        <v>312</v>
      </c>
      <c r="B263" s="6" t="s">
        <v>17</v>
      </c>
      <c r="C263" s="6" t="s">
        <v>62</v>
      </c>
      <c r="D263" s="6">
        <v>2022</v>
      </c>
      <c r="E263" s="6" t="s">
        <v>48</v>
      </c>
      <c r="F263" s="6" t="s">
        <v>28</v>
      </c>
      <c r="G263" s="6" t="s">
        <v>14</v>
      </c>
      <c r="H263" s="7">
        <v>60188.37</v>
      </c>
      <c r="I263" s="7" t="str">
        <f t="shared" si="8"/>
        <v>80k-90k</v>
      </c>
      <c r="J263" s="6">
        <v>19</v>
      </c>
      <c r="K263" s="8">
        <f t="shared" si="9"/>
        <v>1143579.03</v>
      </c>
      <c r="L263" s="6" t="s">
        <v>32</v>
      </c>
    </row>
    <row r="264" spans="1:12" x14ac:dyDescent="0.3">
      <c r="A264" s="6" t="s">
        <v>313</v>
      </c>
      <c r="B264" s="6" t="s">
        <v>22</v>
      </c>
      <c r="C264" s="6" t="s">
        <v>105</v>
      </c>
      <c r="D264" s="6">
        <v>2017</v>
      </c>
      <c r="E264" s="6" t="s">
        <v>12</v>
      </c>
      <c r="F264" s="6" t="s">
        <v>35</v>
      </c>
      <c r="G264" s="6" t="s">
        <v>14</v>
      </c>
      <c r="H264" s="7">
        <v>15731.73</v>
      </c>
      <c r="I264" s="7" t="str">
        <f t="shared" si="8"/>
        <v>80k-90k</v>
      </c>
      <c r="J264" s="6">
        <v>20</v>
      </c>
      <c r="K264" s="8">
        <f t="shared" si="9"/>
        <v>314634.59999999998</v>
      </c>
      <c r="L264" s="6" t="s">
        <v>32</v>
      </c>
    </row>
    <row r="265" spans="1:12" x14ac:dyDescent="0.3">
      <c r="A265" s="6" t="s">
        <v>314</v>
      </c>
      <c r="B265" s="6" t="s">
        <v>26</v>
      </c>
      <c r="C265" s="6" t="s">
        <v>27</v>
      </c>
      <c r="D265" s="6">
        <v>2022</v>
      </c>
      <c r="E265" s="6" t="s">
        <v>31</v>
      </c>
      <c r="F265" s="6" t="s">
        <v>28</v>
      </c>
      <c r="G265" s="6" t="s">
        <v>20</v>
      </c>
      <c r="H265" s="7">
        <v>82694.399999999994</v>
      </c>
      <c r="I265" s="7" t="str">
        <f t="shared" si="8"/>
        <v>80k-90k</v>
      </c>
      <c r="J265" s="6">
        <v>16</v>
      </c>
      <c r="K265" s="8">
        <f t="shared" si="9"/>
        <v>1323110.3999999999</v>
      </c>
      <c r="L265" s="6" t="s">
        <v>36</v>
      </c>
    </row>
    <row r="266" spans="1:12" x14ac:dyDescent="0.3">
      <c r="A266" s="6" t="s">
        <v>315</v>
      </c>
      <c r="B266" s="6" t="s">
        <v>17</v>
      </c>
      <c r="C266" s="6" t="s">
        <v>18</v>
      </c>
      <c r="D266" s="6">
        <v>2019</v>
      </c>
      <c r="E266" s="6" t="s">
        <v>48</v>
      </c>
      <c r="F266" s="6" t="s">
        <v>28</v>
      </c>
      <c r="G266" s="6" t="s">
        <v>20</v>
      </c>
      <c r="H266" s="7">
        <v>70040.25</v>
      </c>
      <c r="I266" s="7" t="str">
        <f t="shared" si="8"/>
        <v>80k-90k</v>
      </c>
      <c r="J266" s="6">
        <v>6</v>
      </c>
      <c r="K266" s="8">
        <f t="shared" si="9"/>
        <v>420241.5</v>
      </c>
      <c r="L266" s="6" t="s">
        <v>32</v>
      </c>
    </row>
    <row r="267" spans="1:12" x14ac:dyDescent="0.3">
      <c r="A267" s="6" t="s">
        <v>316</v>
      </c>
      <c r="B267" s="6" t="s">
        <v>70</v>
      </c>
      <c r="C267" s="6" t="s">
        <v>114</v>
      </c>
      <c r="D267" s="6">
        <v>2018</v>
      </c>
      <c r="E267" s="6" t="s">
        <v>40</v>
      </c>
      <c r="F267" s="6" t="s">
        <v>13</v>
      </c>
      <c r="G267" s="6" t="s">
        <v>20</v>
      </c>
      <c r="H267" s="7">
        <v>29781.09</v>
      </c>
      <c r="I267" s="7" t="str">
        <f t="shared" si="8"/>
        <v>80k-90k</v>
      </c>
      <c r="J267" s="6">
        <v>13</v>
      </c>
      <c r="K267" s="8">
        <f t="shared" si="9"/>
        <v>387154.17</v>
      </c>
      <c r="L267" s="6" t="s">
        <v>32</v>
      </c>
    </row>
    <row r="268" spans="1:12" x14ac:dyDescent="0.3">
      <c r="A268" s="6" t="s">
        <v>317</v>
      </c>
      <c r="B268" s="6" t="s">
        <v>17</v>
      </c>
      <c r="C268" s="6" t="s">
        <v>62</v>
      </c>
      <c r="D268" s="6">
        <v>2020</v>
      </c>
      <c r="E268" s="6" t="s">
        <v>31</v>
      </c>
      <c r="F268" s="6" t="s">
        <v>28</v>
      </c>
      <c r="G268" s="6" t="s">
        <v>14</v>
      </c>
      <c r="H268" s="7">
        <v>24742.94</v>
      </c>
      <c r="I268" s="7" t="str">
        <f t="shared" si="8"/>
        <v>80k-90k</v>
      </c>
      <c r="J268" s="6">
        <v>0</v>
      </c>
      <c r="K268" s="8">
        <f t="shared" si="9"/>
        <v>0</v>
      </c>
      <c r="L268" s="6" t="s">
        <v>15</v>
      </c>
    </row>
    <row r="269" spans="1:12" x14ac:dyDescent="0.3">
      <c r="A269" s="6" t="s">
        <v>318</v>
      </c>
      <c r="B269" s="6" t="s">
        <v>43</v>
      </c>
      <c r="C269" s="6" t="s">
        <v>93</v>
      </c>
      <c r="D269" s="6">
        <v>2024</v>
      </c>
      <c r="E269" s="6" t="s">
        <v>31</v>
      </c>
      <c r="F269" s="6" t="s">
        <v>19</v>
      </c>
      <c r="G269" s="6" t="s">
        <v>20</v>
      </c>
      <c r="H269" s="7">
        <v>40159.410000000003</v>
      </c>
      <c r="I269" s="7" t="str">
        <f t="shared" si="8"/>
        <v>80k-90k</v>
      </c>
      <c r="J269" s="6">
        <v>0</v>
      </c>
      <c r="K269" s="8">
        <f t="shared" si="9"/>
        <v>0</v>
      </c>
      <c r="L269" s="6" t="s">
        <v>36</v>
      </c>
    </row>
    <row r="270" spans="1:12" x14ac:dyDescent="0.3">
      <c r="A270" s="6" t="s">
        <v>319</v>
      </c>
      <c r="B270" s="6" t="s">
        <v>43</v>
      </c>
      <c r="C270" s="6" t="s">
        <v>91</v>
      </c>
      <c r="D270" s="6">
        <v>2022</v>
      </c>
      <c r="E270" s="6" t="s">
        <v>31</v>
      </c>
      <c r="F270" s="6" t="s">
        <v>19</v>
      </c>
      <c r="G270" s="6" t="s">
        <v>20</v>
      </c>
      <c r="H270" s="7">
        <v>77897.88</v>
      </c>
      <c r="I270" s="7" t="str">
        <f t="shared" si="8"/>
        <v>80k-90k</v>
      </c>
      <c r="J270" s="6">
        <v>1</v>
      </c>
      <c r="K270" s="8">
        <f t="shared" si="9"/>
        <v>77897.88</v>
      </c>
      <c r="L270" s="6" t="s">
        <v>15</v>
      </c>
    </row>
    <row r="271" spans="1:12" x14ac:dyDescent="0.3">
      <c r="A271" s="6" t="s">
        <v>320</v>
      </c>
      <c r="B271" s="6" t="s">
        <v>22</v>
      </c>
      <c r="C271" s="6" t="s">
        <v>23</v>
      </c>
      <c r="D271" s="6">
        <v>2015</v>
      </c>
      <c r="E271" s="6" t="s">
        <v>40</v>
      </c>
      <c r="F271" s="6" t="s">
        <v>19</v>
      </c>
      <c r="G271" s="6" t="s">
        <v>14</v>
      </c>
      <c r="H271" s="7">
        <v>52804.45</v>
      </c>
      <c r="I271" s="7" t="str">
        <f t="shared" si="8"/>
        <v>80k-90k</v>
      </c>
      <c r="J271" s="6">
        <v>11</v>
      </c>
      <c r="K271" s="8">
        <f t="shared" si="9"/>
        <v>580848.94999999995</v>
      </c>
      <c r="L271" s="6" t="s">
        <v>15</v>
      </c>
    </row>
    <row r="272" spans="1:12" x14ac:dyDescent="0.3">
      <c r="A272" s="6" t="s">
        <v>321</v>
      </c>
      <c r="B272" s="6" t="s">
        <v>17</v>
      </c>
      <c r="C272" s="6" t="s">
        <v>18</v>
      </c>
      <c r="D272" s="6">
        <v>2024</v>
      </c>
      <c r="E272" s="6" t="s">
        <v>55</v>
      </c>
      <c r="F272" s="6" t="s">
        <v>19</v>
      </c>
      <c r="G272" s="6" t="s">
        <v>20</v>
      </c>
      <c r="H272" s="7">
        <v>76670.69</v>
      </c>
      <c r="I272" s="7" t="str">
        <f t="shared" si="8"/>
        <v>80k-90k</v>
      </c>
      <c r="J272" s="6">
        <v>3</v>
      </c>
      <c r="K272" s="8">
        <f t="shared" si="9"/>
        <v>230012.07</v>
      </c>
      <c r="L272" s="6" t="s">
        <v>32</v>
      </c>
    </row>
    <row r="273" spans="1:12" x14ac:dyDescent="0.3">
      <c r="A273" s="6" t="s">
        <v>322</v>
      </c>
      <c r="B273" s="6" t="s">
        <v>22</v>
      </c>
      <c r="C273" s="6" t="s">
        <v>23</v>
      </c>
      <c r="D273" s="6">
        <v>2016</v>
      </c>
      <c r="E273" s="6" t="s">
        <v>40</v>
      </c>
      <c r="F273" s="6" t="s">
        <v>35</v>
      </c>
      <c r="G273" s="6" t="s">
        <v>14</v>
      </c>
      <c r="H273" s="7">
        <v>60403.39</v>
      </c>
      <c r="I273" s="7" t="str">
        <f t="shared" si="8"/>
        <v>80k-90k</v>
      </c>
      <c r="J273" s="6">
        <v>20</v>
      </c>
      <c r="K273" s="8">
        <f t="shared" si="9"/>
        <v>1208067.8</v>
      </c>
      <c r="L273" s="6" t="s">
        <v>36</v>
      </c>
    </row>
    <row r="274" spans="1:12" x14ac:dyDescent="0.3">
      <c r="A274" s="6" t="s">
        <v>323</v>
      </c>
      <c r="B274" s="6" t="s">
        <v>43</v>
      </c>
      <c r="C274" s="6" t="s">
        <v>93</v>
      </c>
      <c r="D274" s="6">
        <v>2025</v>
      </c>
      <c r="E274" s="6" t="s">
        <v>40</v>
      </c>
      <c r="F274" s="6" t="s">
        <v>19</v>
      </c>
      <c r="G274" s="6" t="s">
        <v>20</v>
      </c>
      <c r="H274" s="7">
        <v>36261.58</v>
      </c>
      <c r="I274" s="7" t="str">
        <f t="shared" si="8"/>
        <v>80k-90k</v>
      </c>
      <c r="J274" s="6">
        <v>13</v>
      </c>
      <c r="K274" s="8">
        <f t="shared" si="9"/>
        <v>471400.54000000004</v>
      </c>
      <c r="L274" s="6" t="s">
        <v>36</v>
      </c>
    </row>
    <row r="275" spans="1:12" x14ac:dyDescent="0.3">
      <c r="A275" s="6" t="s">
        <v>324</v>
      </c>
      <c r="B275" s="6" t="s">
        <v>38</v>
      </c>
      <c r="C275" s="6" t="s">
        <v>96</v>
      </c>
      <c r="D275" s="6">
        <v>2019</v>
      </c>
      <c r="E275" s="6" t="s">
        <v>48</v>
      </c>
      <c r="F275" s="6" t="s">
        <v>28</v>
      </c>
      <c r="G275" s="6" t="s">
        <v>14</v>
      </c>
      <c r="H275" s="7">
        <v>97569.91</v>
      </c>
      <c r="I275" s="7" t="str">
        <f t="shared" si="8"/>
        <v>90k-1L</v>
      </c>
      <c r="J275" s="6">
        <v>16</v>
      </c>
      <c r="K275" s="8">
        <f t="shared" si="9"/>
        <v>1561118.56</v>
      </c>
      <c r="L275" s="6" t="s">
        <v>15</v>
      </c>
    </row>
    <row r="276" spans="1:12" x14ac:dyDescent="0.3">
      <c r="A276" s="6" t="s">
        <v>325</v>
      </c>
      <c r="B276" s="6" t="s">
        <v>22</v>
      </c>
      <c r="C276" s="6" t="s">
        <v>53</v>
      </c>
      <c r="D276" s="6">
        <v>2015</v>
      </c>
      <c r="E276" s="6" t="s">
        <v>48</v>
      </c>
      <c r="F276" s="6" t="s">
        <v>19</v>
      </c>
      <c r="G276" s="6" t="s">
        <v>20</v>
      </c>
      <c r="H276" s="7">
        <v>94691.22</v>
      </c>
      <c r="I276" s="7" t="str">
        <f t="shared" si="8"/>
        <v>90k-1L</v>
      </c>
      <c r="J276" s="6">
        <v>17</v>
      </c>
      <c r="K276" s="8">
        <f t="shared" si="9"/>
        <v>1609750.74</v>
      </c>
      <c r="L276" s="6" t="s">
        <v>36</v>
      </c>
    </row>
    <row r="277" spans="1:12" x14ac:dyDescent="0.3">
      <c r="A277" s="6" t="s">
        <v>326</v>
      </c>
      <c r="B277" s="6" t="s">
        <v>43</v>
      </c>
      <c r="C277" s="6" t="s">
        <v>44</v>
      </c>
      <c r="D277" s="6">
        <v>2017</v>
      </c>
      <c r="E277" s="6" t="s">
        <v>48</v>
      </c>
      <c r="F277" s="6" t="s">
        <v>19</v>
      </c>
      <c r="G277" s="6" t="s">
        <v>20</v>
      </c>
      <c r="H277" s="7">
        <v>44753.36</v>
      </c>
      <c r="I277" s="7" t="str">
        <f t="shared" si="8"/>
        <v>80k-90k</v>
      </c>
      <c r="J277" s="6">
        <v>11</v>
      </c>
      <c r="K277" s="8">
        <f t="shared" si="9"/>
        <v>492286.96</v>
      </c>
      <c r="L277" s="6" t="s">
        <v>36</v>
      </c>
    </row>
    <row r="278" spans="1:12" x14ac:dyDescent="0.3">
      <c r="A278" s="6" t="s">
        <v>327</v>
      </c>
      <c r="B278" s="6" t="s">
        <v>22</v>
      </c>
      <c r="C278" s="6" t="s">
        <v>105</v>
      </c>
      <c r="D278" s="6">
        <v>2025</v>
      </c>
      <c r="E278" s="6" t="s">
        <v>24</v>
      </c>
      <c r="F278" s="6" t="s">
        <v>13</v>
      </c>
      <c r="G278" s="6" t="s">
        <v>14</v>
      </c>
      <c r="H278" s="7">
        <v>50703.33</v>
      </c>
      <c r="I278" s="7" t="str">
        <f t="shared" si="8"/>
        <v>80k-90k</v>
      </c>
      <c r="J278" s="6">
        <v>4</v>
      </c>
      <c r="K278" s="8">
        <f t="shared" si="9"/>
        <v>202813.32</v>
      </c>
      <c r="L278" s="6" t="s">
        <v>32</v>
      </c>
    </row>
    <row r="279" spans="1:12" x14ac:dyDescent="0.3">
      <c r="A279" s="6" t="s">
        <v>328</v>
      </c>
      <c r="B279" s="6" t="s">
        <v>22</v>
      </c>
      <c r="C279" s="6" t="s">
        <v>23</v>
      </c>
      <c r="D279" s="6">
        <v>2016</v>
      </c>
      <c r="E279" s="6" t="s">
        <v>31</v>
      </c>
      <c r="F279" s="6" t="s">
        <v>28</v>
      </c>
      <c r="G279" s="6" t="s">
        <v>14</v>
      </c>
      <c r="H279" s="7">
        <v>34255.919999999998</v>
      </c>
      <c r="I279" s="7" t="str">
        <f t="shared" si="8"/>
        <v>80k-90k</v>
      </c>
      <c r="J279" s="6">
        <v>2</v>
      </c>
      <c r="K279" s="8">
        <f t="shared" si="9"/>
        <v>68511.839999999997</v>
      </c>
      <c r="L279" s="6" t="s">
        <v>15</v>
      </c>
    </row>
    <row r="280" spans="1:12" x14ac:dyDescent="0.3">
      <c r="A280" s="6" t="s">
        <v>329</v>
      </c>
      <c r="B280" s="6" t="s">
        <v>22</v>
      </c>
      <c r="C280" s="6" t="s">
        <v>53</v>
      </c>
      <c r="D280" s="6">
        <v>2016</v>
      </c>
      <c r="E280" s="6" t="s">
        <v>48</v>
      </c>
      <c r="F280" s="6" t="s">
        <v>13</v>
      </c>
      <c r="G280" s="6" t="s">
        <v>20</v>
      </c>
      <c r="H280" s="7">
        <v>84961.77</v>
      </c>
      <c r="I280" s="7" t="str">
        <f t="shared" si="8"/>
        <v>80k-90k</v>
      </c>
      <c r="J280" s="6">
        <v>2</v>
      </c>
      <c r="K280" s="8">
        <f t="shared" si="9"/>
        <v>169923.54</v>
      </c>
      <c r="L280" s="6" t="s">
        <v>36</v>
      </c>
    </row>
    <row r="281" spans="1:12" x14ac:dyDescent="0.3">
      <c r="A281" s="6" t="s">
        <v>330</v>
      </c>
      <c r="B281" s="6" t="s">
        <v>70</v>
      </c>
      <c r="C281" s="6" t="s">
        <v>114</v>
      </c>
      <c r="D281" s="6">
        <v>2015</v>
      </c>
      <c r="E281" s="6" t="s">
        <v>12</v>
      </c>
      <c r="F281" s="6" t="s">
        <v>19</v>
      </c>
      <c r="G281" s="6" t="s">
        <v>14</v>
      </c>
      <c r="H281" s="7">
        <v>85933.119999999995</v>
      </c>
      <c r="I281" s="7" t="str">
        <f t="shared" si="8"/>
        <v>80k-90k</v>
      </c>
      <c r="J281" s="6">
        <v>18</v>
      </c>
      <c r="K281" s="8">
        <f t="shared" si="9"/>
        <v>1546796.16</v>
      </c>
      <c r="L281" s="6" t="s">
        <v>36</v>
      </c>
    </row>
    <row r="282" spans="1:12" x14ac:dyDescent="0.3">
      <c r="A282" s="6" t="s">
        <v>331</v>
      </c>
      <c r="B282" s="6" t="s">
        <v>17</v>
      </c>
      <c r="C282" s="6" t="s">
        <v>18</v>
      </c>
      <c r="D282" s="6">
        <v>2015</v>
      </c>
      <c r="E282" s="6" t="s">
        <v>24</v>
      </c>
      <c r="F282" s="6" t="s">
        <v>19</v>
      </c>
      <c r="G282" s="6" t="s">
        <v>14</v>
      </c>
      <c r="H282" s="7">
        <v>15390.95</v>
      </c>
      <c r="I282" s="7" t="str">
        <f t="shared" si="8"/>
        <v>80k-90k</v>
      </c>
      <c r="J282" s="6">
        <v>18</v>
      </c>
      <c r="K282" s="8">
        <f t="shared" si="9"/>
        <v>277037.10000000003</v>
      </c>
      <c r="L282" s="6" t="s">
        <v>32</v>
      </c>
    </row>
    <row r="283" spans="1:12" x14ac:dyDescent="0.3">
      <c r="A283" s="6" t="s">
        <v>332</v>
      </c>
      <c r="B283" s="6" t="s">
        <v>17</v>
      </c>
      <c r="C283" s="6" t="s">
        <v>46</v>
      </c>
      <c r="D283" s="6">
        <v>2020</v>
      </c>
      <c r="E283" s="6" t="s">
        <v>55</v>
      </c>
      <c r="F283" s="6" t="s">
        <v>13</v>
      </c>
      <c r="G283" s="6" t="s">
        <v>20</v>
      </c>
      <c r="H283" s="7">
        <v>64085.760000000002</v>
      </c>
      <c r="I283" s="7" t="str">
        <f t="shared" si="8"/>
        <v>80k-90k</v>
      </c>
      <c r="J283" s="6">
        <v>0</v>
      </c>
      <c r="K283" s="8">
        <f t="shared" si="9"/>
        <v>0</v>
      </c>
      <c r="L283" s="6" t="s">
        <v>36</v>
      </c>
    </row>
    <row r="284" spans="1:12" x14ac:dyDescent="0.3">
      <c r="A284" s="6" t="s">
        <v>333</v>
      </c>
      <c r="B284" s="6" t="s">
        <v>38</v>
      </c>
      <c r="C284" s="6" t="s">
        <v>65</v>
      </c>
      <c r="D284" s="6">
        <v>2017</v>
      </c>
      <c r="E284" s="6" t="s">
        <v>24</v>
      </c>
      <c r="F284" s="6" t="s">
        <v>28</v>
      </c>
      <c r="G284" s="6" t="s">
        <v>14</v>
      </c>
      <c r="H284" s="7">
        <v>68812.78</v>
      </c>
      <c r="I284" s="7" t="str">
        <f t="shared" si="8"/>
        <v>80k-90k</v>
      </c>
      <c r="J284" s="6">
        <v>14</v>
      </c>
      <c r="K284" s="8">
        <f t="shared" si="9"/>
        <v>963378.91999999993</v>
      </c>
      <c r="L284" s="6" t="s">
        <v>32</v>
      </c>
    </row>
    <row r="285" spans="1:12" x14ac:dyDescent="0.3">
      <c r="A285" s="6" t="s">
        <v>334</v>
      </c>
      <c r="B285" s="6" t="s">
        <v>10</v>
      </c>
      <c r="C285" s="6" t="s">
        <v>11</v>
      </c>
      <c r="D285" s="6">
        <v>2022</v>
      </c>
      <c r="E285" s="6" t="s">
        <v>31</v>
      </c>
      <c r="F285" s="6" t="s">
        <v>28</v>
      </c>
      <c r="G285" s="6" t="s">
        <v>20</v>
      </c>
      <c r="H285" s="7">
        <v>28195.4</v>
      </c>
      <c r="I285" s="7" t="str">
        <f t="shared" si="8"/>
        <v>80k-90k</v>
      </c>
      <c r="J285" s="6">
        <v>17</v>
      </c>
      <c r="K285" s="8">
        <f t="shared" si="9"/>
        <v>479321.80000000005</v>
      </c>
      <c r="L285" s="6" t="s">
        <v>36</v>
      </c>
    </row>
    <row r="286" spans="1:12" x14ac:dyDescent="0.3">
      <c r="A286" s="6" t="s">
        <v>335</v>
      </c>
      <c r="B286" s="6" t="s">
        <v>38</v>
      </c>
      <c r="C286" s="6" t="s">
        <v>39</v>
      </c>
      <c r="D286" s="6">
        <v>2022</v>
      </c>
      <c r="E286" s="6" t="s">
        <v>24</v>
      </c>
      <c r="F286" s="6" t="s">
        <v>19</v>
      </c>
      <c r="G286" s="6" t="s">
        <v>14</v>
      </c>
      <c r="H286" s="7">
        <v>51668.13</v>
      </c>
      <c r="I286" s="7" t="str">
        <f t="shared" si="8"/>
        <v>80k-90k</v>
      </c>
      <c r="J286" s="6">
        <v>9</v>
      </c>
      <c r="K286" s="8">
        <f t="shared" si="9"/>
        <v>465013.17</v>
      </c>
      <c r="L286" s="6" t="s">
        <v>32</v>
      </c>
    </row>
    <row r="287" spans="1:12" x14ac:dyDescent="0.3">
      <c r="A287" s="6" t="s">
        <v>336</v>
      </c>
      <c r="B287" s="6" t="s">
        <v>70</v>
      </c>
      <c r="C287" s="6" t="s">
        <v>80</v>
      </c>
      <c r="D287" s="6">
        <v>2017</v>
      </c>
      <c r="E287" s="6" t="s">
        <v>31</v>
      </c>
      <c r="F287" s="6" t="s">
        <v>35</v>
      </c>
      <c r="G287" s="6" t="s">
        <v>20</v>
      </c>
      <c r="H287" s="7">
        <v>16765.09</v>
      </c>
      <c r="I287" s="7" t="str">
        <f t="shared" si="8"/>
        <v>80k-90k</v>
      </c>
      <c r="J287" s="6">
        <v>19</v>
      </c>
      <c r="K287" s="8">
        <f t="shared" si="9"/>
        <v>318536.71000000002</v>
      </c>
      <c r="L287" s="6" t="s">
        <v>36</v>
      </c>
    </row>
    <row r="288" spans="1:12" x14ac:dyDescent="0.3">
      <c r="A288" s="6" t="s">
        <v>337</v>
      </c>
      <c r="B288" s="6" t="s">
        <v>22</v>
      </c>
      <c r="C288" s="6" t="s">
        <v>105</v>
      </c>
      <c r="D288" s="6">
        <v>2025</v>
      </c>
      <c r="E288" s="6" t="s">
        <v>48</v>
      </c>
      <c r="F288" s="6" t="s">
        <v>28</v>
      </c>
      <c r="G288" s="6" t="s">
        <v>20</v>
      </c>
      <c r="H288" s="7">
        <v>59081.2</v>
      </c>
      <c r="I288" s="7" t="str">
        <f t="shared" si="8"/>
        <v>80k-90k</v>
      </c>
      <c r="J288" s="6">
        <v>7</v>
      </c>
      <c r="K288" s="8">
        <f t="shared" si="9"/>
        <v>413568.39999999997</v>
      </c>
      <c r="L288" s="6" t="s">
        <v>36</v>
      </c>
    </row>
    <row r="289" spans="1:12" x14ac:dyDescent="0.3">
      <c r="A289" s="6" t="s">
        <v>338</v>
      </c>
      <c r="B289" s="6" t="s">
        <v>26</v>
      </c>
      <c r="C289" s="6" t="s">
        <v>27</v>
      </c>
      <c r="D289" s="6">
        <v>2024</v>
      </c>
      <c r="E289" s="6" t="s">
        <v>40</v>
      </c>
      <c r="F289" s="6" t="s">
        <v>35</v>
      </c>
      <c r="G289" s="6" t="s">
        <v>14</v>
      </c>
      <c r="H289" s="7">
        <v>52822.73</v>
      </c>
      <c r="I289" s="7" t="str">
        <f t="shared" si="8"/>
        <v>80k-90k</v>
      </c>
      <c r="J289" s="6">
        <v>0</v>
      </c>
      <c r="K289" s="8">
        <f t="shared" si="9"/>
        <v>0</v>
      </c>
      <c r="L289" s="6" t="s">
        <v>36</v>
      </c>
    </row>
    <row r="290" spans="1:12" x14ac:dyDescent="0.3">
      <c r="A290" s="6" t="s">
        <v>339</v>
      </c>
      <c r="B290" s="6" t="s">
        <v>43</v>
      </c>
      <c r="C290" s="6" t="s">
        <v>44</v>
      </c>
      <c r="D290" s="6">
        <v>2018</v>
      </c>
      <c r="E290" s="6" t="s">
        <v>55</v>
      </c>
      <c r="F290" s="6" t="s">
        <v>35</v>
      </c>
      <c r="G290" s="6" t="s">
        <v>14</v>
      </c>
      <c r="H290" s="7">
        <v>79631.09</v>
      </c>
      <c r="I290" s="7" t="str">
        <f t="shared" si="8"/>
        <v>80k-90k</v>
      </c>
      <c r="J290" s="6">
        <v>14</v>
      </c>
      <c r="K290" s="8">
        <f t="shared" si="9"/>
        <v>1114835.26</v>
      </c>
      <c r="L290" s="6" t="s">
        <v>36</v>
      </c>
    </row>
    <row r="291" spans="1:12" x14ac:dyDescent="0.3">
      <c r="A291" s="6" t="s">
        <v>340</v>
      </c>
      <c r="B291" s="6" t="s">
        <v>17</v>
      </c>
      <c r="C291" s="6" t="s">
        <v>18</v>
      </c>
      <c r="D291" s="6">
        <v>2025</v>
      </c>
      <c r="E291" s="6" t="s">
        <v>31</v>
      </c>
      <c r="F291" s="6" t="s">
        <v>35</v>
      </c>
      <c r="G291" s="6" t="s">
        <v>14</v>
      </c>
      <c r="H291" s="7">
        <v>29872.799999999999</v>
      </c>
      <c r="I291" s="7" t="str">
        <f t="shared" si="8"/>
        <v>80k-90k</v>
      </c>
      <c r="J291" s="6">
        <v>17</v>
      </c>
      <c r="K291" s="8">
        <f t="shared" si="9"/>
        <v>507837.6</v>
      </c>
      <c r="L291" s="6" t="s">
        <v>32</v>
      </c>
    </row>
    <row r="292" spans="1:12" x14ac:dyDescent="0.3">
      <c r="A292" s="6" t="s">
        <v>341</v>
      </c>
      <c r="B292" s="6" t="s">
        <v>38</v>
      </c>
      <c r="C292" s="6" t="s">
        <v>96</v>
      </c>
      <c r="D292" s="6">
        <v>2022</v>
      </c>
      <c r="E292" s="6" t="s">
        <v>24</v>
      </c>
      <c r="F292" s="6" t="s">
        <v>35</v>
      </c>
      <c r="G292" s="6" t="s">
        <v>14</v>
      </c>
      <c r="H292" s="7">
        <v>99707.28</v>
      </c>
      <c r="I292" s="7" t="str">
        <f t="shared" si="8"/>
        <v>90k-1L</v>
      </c>
      <c r="J292" s="6">
        <v>19</v>
      </c>
      <c r="K292" s="8">
        <f t="shared" si="9"/>
        <v>1894438.32</v>
      </c>
      <c r="L292" s="6" t="s">
        <v>15</v>
      </c>
    </row>
    <row r="293" spans="1:12" x14ac:dyDescent="0.3">
      <c r="A293" s="6" t="s">
        <v>342</v>
      </c>
      <c r="B293" s="6" t="s">
        <v>70</v>
      </c>
      <c r="C293" s="6" t="s">
        <v>71</v>
      </c>
      <c r="D293" s="6">
        <v>2018</v>
      </c>
      <c r="E293" s="6" t="s">
        <v>48</v>
      </c>
      <c r="F293" s="6" t="s">
        <v>35</v>
      </c>
      <c r="G293" s="6" t="s">
        <v>20</v>
      </c>
      <c r="H293" s="7">
        <v>76715.08</v>
      </c>
      <c r="I293" s="7" t="str">
        <f t="shared" si="8"/>
        <v>80k-90k</v>
      </c>
      <c r="J293" s="6">
        <v>11</v>
      </c>
      <c r="K293" s="8">
        <f t="shared" si="9"/>
        <v>843865.88</v>
      </c>
      <c r="L293" s="6" t="s">
        <v>36</v>
      </c>
    </row>
    <row r="294" spans="1:12" x14ac:dyDescent="0.3">
      <c r="A294" s="6" t="s">
        <v>343</v>
      </c>
      <c r="B294" s="6" t="s">
        <v>26</v>
      </c>
      <c r="C294" s="6" t="s">
        <v>34</v>
      </c>
      <c r="D294" s="6">
        <v>2022</v>
      </c>
      <c r="E294" s="6" t="s">
        <v>24</v>
      </c>
      <c r="F294" s="6" t="s">
        <v>35</v>
      </c>
      <c r="G294" s="6" t="s">
        <v>14</v>
      </c>
      <c r="H294" s="7">
        <v>79140.179999999993</v>
      </c>
      <c r="I294" s="7" t="str">
        <f t="shared" si="8"/>
        <v>80k-90k</v>
      </c>
      <c r="J294" s="6">
        <v>9</v>
      </c>
      <c r="K294" s="8">
        <f t="shared" si="9"/>
        <v>712261.61999999988</v>
      </c>
      <c r="L294" s="6" t="s">
        <v>36</v>
      </c>
    </row>
    <row r="295" spans="1:12" x14ac:dyDescent="0.3">
      <c r="A295" s="6" t="s">
        <v>344</v>
      </c>
      <c r="B295" s="6" t="s">
        <v>43</v>
      </c>
      <c r="C295" s="6" t="s">
        <v>44</v>
      </c>
      <c r="D295" s="6">
        <v>2015</v>
      </c>
      <c r="E295" s="6" t="s">
        <v>31</v>
      </c>
      <c r="F295" s="6" t="s">
        <v>19</v>
      </c>
      <c r="G295" s="6" t="s">
        <v>14</v>
      </c>
      <c r="H295" s="7">
        <v>69114.77</v>
      </c>
      <c r="I295" s="7" t="str">
        <f t="shared" si="8"/>
        <v>80k-90k</v>
      </c>
      <c r="J295" s="6">
        <v>16</v>
      </c>
      <c r="K295" s="8">
        <f t="shared" si="9"/>
        <v>1105836.32</v>
      </c>
      <c r="L295" s="6" t="s">
        <v>15</v>
      </c>
    </row>
    <row r="296" spans="1:12" x14ac:dyDescent="0.3">
      <c r="A296" s="6" t="s">
        <v>345</v>
      </c>
      <c r="B296" s="6" t="s">
        <v>22</v>
      </c>
      <c r="C296" s="6" t="s">
        <v>105</v>
      </c>
      <c r="D296" s="6">
        <v>2020</v>
      </c>
      <c r="E296" s="6" t="s">
        <v>48</v>
      </c>
      <c r="F296" s="6" t="s">
        <v>19</v>
      </c>
      <c r="G296" s="6" t="s">
        <v>14</v>
      </c>
      <c r="H296" s="7">
        <v>50422.080000000002</v>
      </c>
      <c r="I296" s="7" t="str">
        <f t="shared" si="8"/>
        <v>80k-90k</v>
      </c>
      <c r="J296" s="6">
        <v>13</v>
      </c>
      <c r="K296" s="8">
        <f t="shared" si="9"/>
        <v>655487.04</v>
      </c>
      <c r="L296" s="6" t="s">
        <v>32</v>
      </c>
    </row>
    <row r="297" spans="1:12" x14ac:dyDescent="0.3">
      <c r="A297" s="6" t="s">
        <v>346</v>
      </c>
      <c r="B297" s="6" t="s">
        <v>26</v>
      </c>
      <c r="C297" s="6" t="s">
        <v>34</v>
      </c>
      <c r="D297" s="6">
        <v>2025</v>
      </c>
      <c r="E297" s="6" t="s">
        <v>24</v>
      </c>
      <c r="F297" s="6" t="s">
        <v>28</v>
      </c>
      <c r="G297" s="6" t="s">
        <v>20</v>
      </c>
      <c r="H297" s="7">
        <v>97629.5</v>
      </c>
      <c r="I297" s="7" t="str">
        <f t="shared" si="8"/>
        <v>90k-1L</v>
      </c>
      <c r="J297" s="6">
        <v>9</v>
      </c>
      <c r="K297" s="8">
        <f t="shared" si="9"/>
        <v>878665.5</v>
      </c>
      <c r="L297" s="6" t="s">
        <v>36</v>
      </c>
    </row>
    <row r="298" spans="1:12" x14ac:dyDescent="0.3">
      <c r="A298" s="6" t="s">
        <v>347</v>
      </c>
      <c r="B298" s="6" t="s">
        <v>22</v>
      </c>
      <c r="C298" s="6" t="s">
        <v>23</v>
      </c>
      <c r="D298" s="6">
        <v>2019</v>
      </c>
      <c r="E298" s="6" t="s">
        <v>31</v>
      </c>
      <c r="F298" s="6" t="s">
        <v>13</v>
      </c>
      <c r="G298" s="6" t="s">
        <v>14</v>
      </c>
      <c r="H298" s="7">
        <v>36488.89</v>
      </c>
      <c r="I298" s="7" t="str">
        <f t="shared" si="8"/>
        <v>80k-90k</v>
      </c>
      <c r="J298" s="6">
        <v>4</v>
      </c>
      <c r="K298" s="8">
        <f t="shared" si="9"/>
        <v>145955.56</v>
      </c>
      <c r="L298" s="6" t="s">
        <v>15</v>
      </c>
    </row>
    <row r="299" spans="1:12" x14ac:dyDescent="0.3">
      <c r="A299" s="6" t="s">
        <v>348</v>
      </c>
      <c r="B299" s="6" t="s">
        <v>26</v>
      </c>
      <c r="C299" s="6" t="s">
        <v>74</v>
      </c>
      <c r="D299" s="6">
        <v>2023</v>
      </c>
      <c r="E299" s="6" t="s">
        <v>24</v>
      </c>
      <c r="F299" s="6" t="s">
        <v>19</v>
      </c>
      <c r="G299" s="6" t="s">
        <v>20</v>
      </c>
      <c r="H299" s="7">
        <v>83331.899999999994</v>
      </c>
      <c r="I299" s="7" t="str">
        <f t="shared" si="8"/>
        <v>80k-90k</v>
      </c>
      <c r="J299" s="6">
        <v>1</v>
      </c>
      <c r="K299" s="8">
        <f t="shared" si="9"/>
        <v>83331.899999999994</v>
      </c>
      <c r="L299" s="6" t="s">
        <v>32</v>
      </c>
    </row>
    <row r="300" spans="1:12" x14ac:dyDescent="0.3">
      <c r="A300" s="6" t="s">
        <v>349</v>
      </c>
      <c r="B300" s="6" t="s">
        <v>70</v>
      </c>
      <c r="C300" s="6" t="s">
        <v>114</v>
      </c>
      <c r="D300" s="6">
        <v>2017</v>
      </c>
      <c r="E300" s="6" t="s">
        <v>12</v>
      </c>
      <c r="F300" s="6" t="s">
        <v>35</v>
      </c>
      <c r="G300" s="6" t="s">
        <v>14</v>
      </c>
      <c r="H300" s="7">
        <v>80850.23</v>
      </c>
      <c r="I300" s="7" t="str">
        <f t="shared" si="8"/>
        <v>80k-90k</v>
      </c>
      <c r="J300" s="6">
        <v>4</v>
      </c>
      <c r="K300" s="8">
        <f t="shared" si="9"/>
        <v>323400.92</v>
      </c>
      <c r="L300" s="6" t="s">
        <v>15</v>
      </c>
    </row>
    <row r="301" spans="1:12" x14ac:dyDescent="0.3">
      <c r="A301" s="6" t="s">
        <v>350</v>
      </c>
      <c r="B301" s="6" t="s">
        <v>17</v>
      </c>
      <c r="C301" s="6" t="s">
        <v>46</v>
      </c>
      <c r="D301" s="6">
        <v>2024</v>
      </c>
      <c r="E301" s="6" t="s">
        <v>31</v>
      </c>
      <c r="F301" s="6" t="s">
        <v>19</v>
      </c>
      <c r="G301" s="6" t="s">
        <v>14</v>
      </c>
      <c r="H301" s="7">
        <v>53359.33</v>
      </c>
      <c r="I301" s="7" t="str">
        <f t="shared" si="8"/>
        <v>80k-90k</v>
      </c>
      <c r="J301" s="6">
        <v>19</v>
      </c>
      <c r="K301" s="8">
        <f t="shared" si="9"/>
        <v>1013827.27</v>
      </c>
      <c r="L301" s="6" t="s">
        <v>36</v>
      </c>
    </row>
    <row r="302" spans="1:12" x14ac:dyDescent="0.3">
      <c r="A302" s="6" t="s">
        <v>351</v>
      </c>
      <c r="B302" s="6" t="s">
        <v>38</v>
      </c>
      <c r="C302" s="6" t="s">
        <v>39</v>
      </c>
      <c r="D302" s="6">
        <v>2015</v>
      </c>
      <c r="E302" s="6" t="s">
        <v>48</v>
      </c>
      <c r="F302" s="6" t="s">
        <v>19</v>
      </c>
      <c r="G302" s="6" t="s">
        <v>20</v>
      </c>
      <c r="H302" s="7">
        <v>84003.26</v>
      </c>
      <c r="I302" s="7" t="str">
        <f t="shared" si="8"/>
        <v>80k-90k</v>
      </c>
      <c r="J302" s="6">
        <v>10</v>
      </c>
      <c r="K302" s="8">
        <f t="shared" si="9"/>
        <v>840032.6</v>
      </c>
      <c r="L302" s="6" t="s">
        <v>36</v>
      </c>
    </row>
    <row r="303" spans="1:12" x14ac:dyDescent="0.3">
      <c r="A303" s="6" t="s">
        <v>352</v>
      </c>
      <c r="B303" s="6" t="s">
        <v>43</v>
      </c>
      <c r="C303" s="6" t="s">
        <v>93</v>
      </c>
      <c r="D303" s="6">
        <v>2022</v>
      </c>
      <c r="E303" s="6" t="s">
        <v>55</v>
      </c>
      <c r="F303" s="6" t="s">
        <v>13</v>
      </c>
      <c r="G303" s="6" t="s">
        <v>14</v>
      </c>
      <c r="H303" s="7">
        <v>86538.68</v>
      </c>
      <c r="I303" s="7" t="str">
        <f t="shared" si="8"/>
        <v>80k-90k</v>
      </c>
      <c r="J303" s="6">
        <v>17</v>
      </c>
      <c r="K303" s="8">
        <f t="shared" si="9"/>
        <v>1471157.5599999998</v>
      </c>
      <c r="L303" s="6" t="s">
        <v>15</v>
      </c>
    </row>
    <row r="304" spans="1:12" x14ac:dyDescent="0.3">
      <c r="A304" s="6" t="s">
        <v>353</v>
      </c>
      <c r="B304" s="6" t="s">
        <v>38</v>
      </c>
      <c r="C304" s="6" t="s">
        <v>39</v>
      </c>
      <c r="D304" s="6">
        <v>2022</v>
      </c>
      <c r="E304" s="6" t="s">
        <v>55</v>
      </c>
      <c r="F304" s="6" t="s">
        <v>19</v>
      </c>
      <c r="G304" s="6" t="s">
        <v>14</v>
      </c>
      <c r="H304" s="7">
        <v>78237.97</v>
      </c>
      <c r="I304" s="7" t="str">
        <f t="shared" si="8"/>
        <v>80k-90k</v>
      </c>
      <c r="J304" s="6">
        <v>14</v>
      </c>
      <c r="K304" s="8">
        <f t="shared" si="9"/>
        <v>1095331.58</v>
      </c>
      <c r="L304" s="6" t="s">
        <v>36</v>
      </c>
    </row>
    <row r="305" spans="1:12" x14ac:dyDescent="0.3">
      <c r="A305" s="6" t="s">
        <v>354</v>
      </c>
      <c r="B305" s="6" t="s">
        <v>17</v>
      </c>
      <c r="C305" s="6" t="s">
        <v>62</v>
      </c>
      <c r="D305" s="6">
        <v>2020</v>
      </c>
      <c r="E305" s="6" t="s">
        <v>31</v>
      </c>
      <c r="F305" s="6" t="s">
        <v>28</v>
      </c>
      <c r="G305" s="6" t="s">
        <v>20</v>
      </c>
      <c r="H305" s="7">
        <v>41004.620000000003</v>
      </c>
      <c r="I305" s="7" t="str">
        <f t="shared" si="8"/>
        <v>80k-90k</v>
      </c>
      <c r="J305" s="6">
        <v>8</v>
      </c>
      <c r="K305" s="8">
        <f t="shared" si="9"/>
        <v>328036.96000000002</v>
      </c>
      <c r="L305" s="6" t="s">
        <v>32</v>
      </c>
    </row>
    <row r="306" spans="1:12" x14ac:dyDescent="0.3">
      <c r="A306" s="6" t="s">
        <v>355</v>
      </c>
      <c r="B306" s="6" t="s">
        <v>43</v>
      </c>
      <c r="C306" s="6" t="s">
        <v>91</v>
      </c>
      <c r="D306" s="6">
        <v>2017</v>
      </c>
      <c r="E306" s="6" t="s">
        <v>48</v>
      </c>
      <c r="F306" s="6" t="s">
        <v>13</v>
      </c>
      <c r="G306" s="6" t="s">
        <v>20</v>
      </c>
      <c r="H306" s="7">
        <v>44558.29</v>
      </c>
      <c r="I306" s="7" t="str">
        <f t="shared" si="8"/>
        <v>80k-90k</v>
      </c>
      <c r="J306" s="6">
        <v>16</v>
      </c>
      <c r="K306" s="8">
        <f t="shared" si="9"/>
        <v>712932.64</v>
      </c>
      <c r="L306" s="6" t="s">
        <v>15</v>
      </c>
    </row>
    <row r="307" spans="1:12" x14ac:dyDescent="0.3">
      <c r="A307" s="6" t="s">
        <v>356</v>
      </c>
      <c r="B307" s="6" t="s">
        <v>22</v>
      </c>
      <c r="C307" s="6" t="s">
        <v>53</v>
      </c>
      <c r="D307" s="6">
        <v>2018</v>
      </c>
      <c r="E307" s="6" t="s">
        <v>55</v>
      </c>
      <c r="F307" s="6" t="s">
        <v>13</v>
      </c>
      <c r="G307" s="6" t="s">
        <v>20</v>
      </c>
      <c r="H307" s="7">
        <v>68740.73</v>
      </c>
      <c r="I307" s="7" t="str">
        <f t="shared" si="8"/>
        <v>80k-90k</v>
      </c>
      <c r="J307" s="6">
        <v>15</v>
      </c>
      <c r="K307" s="8">
        <f t="shared" si="9"/>
        <v>1031110.95</v>
      </c>
      <c r="L307" s="6" t="s">
        <v>36</v>
      </c>
    </row>
    <row r="308" spans="1:12" x14ac:dyDescent="0.3">
      <c r="A308" s="6" t="s">
        <v>357</v>
      </c>
      <c r="B308" s="6" t="s">
        <v>22</v>
      </c>
      <c r="C308" s="6" t="s">
        <v>23</v>
      </c>
      <c r="D308" s="6">
        <v>2021</v>
      </c>
      <c r="E308" s="6" t="s">
        <v>24</v>
      </c>
      <c r="F308" s="6" t="s">
        <v>35</v>
      </c>
      <c r="G308" s="6" t="s">
        <v>20</v>
      </c>
      <c r="H308" s="7">
        <v>80287.539999999994</v>
      </c>
      <c r="I308" s="7" t="str">
        <f t="shared" si="8"/>
        <v>80k-90k</v>
      </c>
      <c r="J308" s="6">
        <v>0</v>
      </c>
      <c r="K308" s="8">
        <f t="shared" si="9"/>
        <v>0</v>
      </c>
      <c r="L308" s="6" t="s">
        <v>36</v>
      </c>
    </row>
    <row r="309" spans="1:12" x14ac:dyDescent="0.3">
      <c r="A309" s="6" t="s">
        <v>358</v>
      </c>
      <c r="B309" s="6" t="s">
        <v>70</v>
      </c>
      <c r="C309" s="6" t="s">
        <v>80</v>
      </c>
      <c r="D309" s="6">
        <v>2023</v>
      </c>
      <c r="E309" s="6" t="s">
        <v>12</v>
      </c>
      <c r="F309" s="6" t="s">
        <v>35</v>
      </c>
      <c r="G309" s="6" t="s">
        <v>20</v>
      </c>
      <c r="H309" s="7">
        <v>18650.45</v>
      </c>
      <c r="I309" s="7" t="str">
        <f t="shared" si="8"/>
        <v>80k-90k</v>
      </c>
      <c r="J309" s="6">
        <v>19</v>
      </c>
      <c r="K309" s="8">
        <f t="shared" si="9"/>
        <v>354358.55</v>
      </c>
      <c r="L309" s="6" t="s">
        <v>36</v>
      </c>
    </row>
    <row r="310" spans="1:12" x14ac:dyDescent="0.3">
      <c r="A310" s="6" t="s">
        <v>359</v>
      </c>
      <c r="B310" s="6" t="s">
        <v>43</v>
      </c>
      <c r="C310" s="6" t="s">
        <v>91</v>
      </c>
      <c r="D310" s="6">
        <v>2023</v>
      </c>
      <c r="E310" s="6" t="s">
        <v>55</v>
      </c>
      <c r="F310" s="6" t="s">
        <v>28</v>
      </c>
      <c r="G310" s="6" t="s">
        <v>20</v>
      </c>
      <c r="H310" s="7">
        <v>54084.04</v>
      </c>
      <c r="I310" s="7" t="str">
        <f t="shared" si="8"/>
        <v>80k-90k</v>
      </c>
      <c r="J310" s="6">
        <v>11</v>
      </c>
      <c r="K310" s="8">
        <f t="shared" si="9"/>
        <v>594924.44000000006</v>
      </c>
      <c r="L310" s="6" t="s">
        <v>36</v>
      </c>
    </row>
    <row r="311" spans="1:12" x14ac:dyDescent="0.3">
      <c r="A311" s="6" t="s">
        <v>360</v>
      </c>
      <c r="B311" s="6" t="s">
        <v>10</v>
      </c>
      <c r="C311" s="6" t="s">
        <v>11</v>
      </c>
      <c r="D311" s="6">
        <v>2018</v>
      </c>
      <c r="E311" s="6" t="s">
        <v>40</v>
      </c>
      <c r="F311" s="6" t="s">
        <v>28</v>
      </c>
      <c r="G311" s="6" t="s">
        <v>20</v>
      </c>
      <c r="H311" s="7">
        <v>19202.36</v>
      </c>
      <c r="I311" s="7" t="str">
        <f t="shared" si="8"/>
        <v>80k-90k</v>
      </c>
      <c r="J311" s="6">
        <v>15</v>
      </c>
      <c r="K311" s="8">
        <f t="shared" si="9"/>
        <v>288035.40000000002</v>
      </c>
      <c r="L311" s="6" t="s">
        <v>15</v>
      </c>
    </row>
    <row r="312" spans="1:12" x14ac:dyDescent="0.3">
      <c r="A312" s="6" t="s">
        <v>361</v>
      </c>
      <c r="B312" s="6" t="s">
        <v>26</v>
      </c>
      <c r="C312" s="6" t="s">
        <v>34</v>
      </c>
      <c r="D312" s="6">
        <v>2018</v>
      </c>
      <c r="E312" s="6" t="s">
        <v>31</v>
      </c>
      <c r="F312" s="6" t="s">
        <v>13</v>
      </c>
      <c r="G312" s="6" t="s">
        <v>14</v>
      </c>
      <c r="H312" s="7">
        <v>97891.68</v>
      </c>
      <c r="I312" s="7" t="str">
        <f t="shared" si="8"/>
        <v>90k-1L</v>
      </c>
      <c r="J312" s="6">
        <v>5</v>
      </c>
      <c r="K312" s="8">
        <f t="shared" si="9"/>
        <v>489458.39999999997</v>
      </c>
      <c r="L312" s="6" t="s">
        <v>15</v>
      </c>
    </row>
    <row r="313" spans="1:12" x14ac:dyDescent="0.3">
      <c r="A313" s="6" t="s">
        <v>362</v>
      </c>
      <c r="B313" s="6" t="s">
        <v>10</v>
      </c>
      <c r="C313" s="6" t="s">
        <v>110</v>
      </c>
      <c r="D313" s="6">
        <v>2015</v>
      </c>
      <c r="E313" s="6" t="s">
        <v>31</v>
      </c>
      <c r="F313" s="6" t="s">
        <v>28</v>
      </c>
      <c r="G313" s="6" t="s">
        <v>14</v>
      </c>
      <c r="H313" s="7">
        <v>45662.22</v>
      </c>
      <c r="I313" s="7" t="str">
        <f t="shared" si="8"/>
        <v>80k-90k</v>
      </c>
      <c r="J313" s="6">
        <v>15</v>
      </c>
      <c r="K313" s="8">
        <f t="shared" si="9"/>
        <v>684933.3</v>
      </c>
      <c r="L313" s="6" t="s">
        <v>36</v>
      </c>
    </row>
    <row r="314" spans="1:12" x14ac:dyDescent="0.3">
      <c r="A314" s="6" t="s">
        <v>363</v>
      </c>
      <c r="B314" s="6" t="s">
        <v>26</v>
      </c>
      <c r="C314" s="6" t="s">
        <v>34</v>
      </c>
      <c r="D314" s="6">
        <v>2022</v>
      </c>
      <c r="E314" s="6" t="s">
        <v>55</v>
      </c>
      <c r="F314" s="6" t="s">
        <v>13</v>
      </c>
      <c r="G314" s="6" t="s">
        <v>20</v>
      </c>
      <c r="H314" s="7">
        <v>93641.13</v>
      </c>
      <c r="I314" s="7" t="str">
        <f t="shared" si="8"/>
        <v>90k-1L</v>
      </c>
      <c r="J314" s="6">
        <v>6</v>
      </c>
      <c r="K314" s="8">
        <f t="shared" si="9"/>
        <v>561846.78</v>
      </c>
      <c r="L314" s="6" t="s">
        <v>15</v>
      </c>
    </row>
    <row r="315" spans="1:12" x14ac:dyDescent="0.3">
      <c r="A315" s="6" t="s">
        <v>364</v>
      </c>
      <c r="B315" s="6" t="s">
        <v>10</v>
      </c>
      <c r="C315" s="6" t="s">
        <v>11</v>
      </c>
      <c r="D315" s="6">
        <v>2023</v>
      </c>
      <c r="E315" s="6" t="s">
        <v>12</v>
      </c>
      <c r="F315" s="6" t="s">
        <v>13</v>
      </c>
      <c r="G315" s="6" t="s">
        <v>20</v>
      </c>
      <c r="H315" s="7">
        <v>66822.3</v>
      </c>
      <c r="I315" s="7" t="str">
        <f t="shared" si="8"/>
        <v>80k-90k</v>
      </c>
      <c r="J315" s="6">
        <v>16</v>
      </c>
      <c r="K315" s="8">
        <f t="shared" si="9"/>
        <v>1069156.8</v>
      </c>
      <c r="L315" s="6" t="s">
        <v>36</v>
      </c>
    </row>
    <row r="316" spans="1:12" x14ac:dyDescent="0.3">
      <c r="A316" s="6" t="s">
        <v>365</v>
      </c>
      <c r="B316" s="6" t="s">
        <v>17</v>
      </c>
      <c r="C316" s="6" t="s">
        <v>62</v>
      </c>
      <c r="D316" s="6">
        <v>2015</v>
      </c>
      <c r="E316" s="6" t="s">
        <v>12</v>
      </c>
      <c r="F316" s="6" t="s">
        <v>19</v>
      </c>
      <c r="G316" s="6" t="s">
        <v>20</v>
      </c>
      <c r="H316" s="7">
        <v>34144.39</v>
      </c>
      <c r="I316" s="7" t="str">
        <f t="shared" si="8"/>
        <v>80k-90k</v>
      </c>
      <c r="J316" s="6">
        <v>20</v>
      </c>
      <c r="K316" s="8">
        <f t="shared" si="9"/>
        <v>682887.8</v>
      </c>
      <c r="L316" s="6" t="s">
        <v>32</v>
      </c>
    </row>
    <row r="317" spans="1:12" x14ac:dyDescent="0.3">
      <c r="A317" s="6" t="s">
        <v>366</v>
      </c>
      <c r="B317" s="6" t="s">
        <v>38</v>
      </c>
      <c r="C317" s="6" t="s">
        <v>65</v>
      </c>
      <c r="D317" s="6">
        <v>2016</v>
      </c>
      <c r="E317" s="6" t="s">
        <v>31</v>
      </c>
      <c r="F317" s="6" t="s">
        <v>35</v>
      </c>
      <c r="G317" s="6" t="s">
        <v>20</v>
      </c>
      <c r="H317" s="7">
        <v>49991.15</v>
      </c>
      <c r="I317" s="7" t="str">
        <f t="shared" si="8"/>
        <v>80k-90k</v>
      </c>
      <c r="J317" s="6">
        <v>3</v>
      </c>
      <c r="K317" s="8">
        <f t="shared" si="9"/>
        <v>149973.45000000001</v>
      </c>
      <c r="L317" s="6" t="s">
        <v>32</v>
      </c>
    </row>
    <row r="318" spans="1:12" x14ac:dyDescent="0.3">
      <c r="A318" s="6" t="s">
        <v>367</v>
      </c>
      <c r="B318" s="6" t="s">
        <v>10</v>
      </c>
      <c r="C318" s="6" t="s">
        <v>30</v>
      </c>
      <c r="D318" s="6">
        <v>2024</v>
      </c>
      <c r="E318" s="6" t="s">
        <v>48</v>
      </c>
      <c r="F318" s="6" t="s">
        <v>13</v>
      </c>
      <c r="G318" s="6" t="s">
        <v>20</v>
      </c>
      <c r="H318" s="7">
        <v>65718.570000000007</v>
      </c>
      <c r="I318" s="7" t="str">
        <f t="shared" si="8"/>
        <v>80k-90k</v>
      </c>
      <c r="J318" s="6">
        <v>5</v>
      </c>
      <c r="K318" s="8">
        <f t="shared" si="9"/>
        <v>328592.85000000003</v>
      </c>
      <c r="L318" s="6" t="s">
        <v>15</v>
      </c>
    </row>
    <row r="319" spans="1:12" x14ac:dyDescent="0.3">
      <c r="A319" s="6" t="s">
        <v>368</v>
      </c>
      <c r="B319" s="6" t="s">
        <v>10</v>
      </c>
      <c r="C319" s="6" t="s">
        <v>11</v>
      </c>
      <c r="D319" s="6">
        <v>2025</v>
      </c>
      <c r="E319" s="6" t="s">
        <v>40</v>
      </c>
      <c r="F319" s="6" t="s">
        <v>13</v>
      </c>
      <c r="G319" s="6" t="s">
        <v>14</v>
      </c>
      <c r="H319" s="7">
        <v>94065.17</v>
      </c>
      <c r="I319" s="7" t="str">
        <f t="shared" si="8"/>
        <v>90k-1L</v>
      </c>
      <c r="J319" s="6">
        <v>6</v>
      </c>
      <c r="K319" s="8">
        <f t="shared" si="9"/>
        <v>564391.02</v>
      </c>
      <c r="L319" s="6" t="s">
        <v>15</v>
      </c>
    </row>
    <row r="320" spans="1:12" x14ac:dyDescent="0.3">
      <c r="A320" s="6" t="s">
        <v>369</v>
      </c>
      <c r="B320" s="6" t="s">
        <v>38</v>
      </c>
      <c r="C320" s="6" t="s">
        <v>39</v>
      </c>
      <c r="D320" s="6">
        <v>2021</v>
      </c>
      <c r="E320" s="6" t="s">
        <v>55</v>
      </c>
      <c r="F320" s="6" t="s">
        <v>28</v>
      </c>
      <c r="G320" s="6" t="s">
        <v>20</v>
      </c>
      <c r="H320" s="7">
        <v>44874.76</v>
      </c>
      <c r="I320" s="7" t="str">
        <f t="shared" si="8"/>
        <v>80k-90k</v>
      </c>
      <c r="J320" s="6">
        <v>2</v>
      </c>
      <c r="K320" s="8">
        <f t="shared" si="9"/>
        <v>89749.52</v>
      </c>
      <c r="L320" s="6" t="s">
        <v>36</v>
      </c>
    </row>
    <row r="321" spans="1:12" x14ac:dyDescent="0.3">
      <c r="A321" s="6" t="s">
        <v>370</v>
      </c>
      <c r="B321" s="6" t="s">
        <v>38</v>
      </c>
      <c r="C321" s="6" t="s">
        <v>39</v>
      </c>
      <c r="D321" s="6">
        <v>2023</v>
      </c>
      <c r="E321" s="6" t="s">
        <v>48</v>
      </c>
      <c r="F321" s="6" t="s">
        <v>35</v>
      </c>
      <c r="G321" s="6" t="s">
        <v>14</v>
      </c>
      <c r="H321" s="7">
        <v>52256.29</v>
      </c>
      <c r="I321" s="7" t="str">
        <f t="shared" si="8"/>
        <v>80k-90k</v>
      </c>
      <c r="J321" s="6">
        <v>15</v>
      </c>
      <c r="K321" s="8">
        <f t="shared" si="9"/>
        <v>783844.35</v>
      </c>
      <c r="L321" s="6" t="s">
        <v>15</v>
      </c>
    </row>
    <row r="322" spans="1:12" x14ac:dyDescent="0.3">
      <c r="A322" s="6" t="s">
        <v>371</v>
      </c>
      <c r="B322" s="6" t="s">
        <v>70</v>
      </c>
      <c r="C322" s="6" t="s">
        <v>80</v>
      </c>
      <c r="D322" s="6">
        <v>2018</v>
      </c>
      <c r="E322" s="6" t="s">
        <v>24</v>
      </c>
      <c r="F322" s="6" t="s">
        <v>35</v>
      </c>
      <c r="G322" s="6" t="s">
        <v>20</v>
      </c>
      <c r="H322" s="7">
        <v>24694.17</v>
      </c>
      <c r="I322" s="7" t="str">
        <f t="shared" ref="I322:I385" si="10">IF(H322&lt;90000,"80k-90k",IF(H322&lt;100000,"90k-1L","1L+"))</f>
        <v>80k-90k</v>
      </c>
      <c r="J322" s="6">
        <v>12</v>
      </c>
      <c r="K322" s="8">
        <f t="shared" ref="K322:K385" si="11">PRODUCT(H322*J322)</f>
        <v>296330.03999999998</v>
      </c>
      <c r="L322" s="6" t="s">
        <v>36</v>
      </c>
    </row>
    <row r="323" spans="1:12" x14ac:dyDescent="0.3">
      <c r="A323" s="6" t="s">
        <v>372</v>
      </c>
      <c r="B323" s="6" t="s">
        <v>38</v>
      </c>
      <c r="C323" s="6" t="s">
        <v>39</v>
      </c>
      <c r="D323" s="6">
        <v>2025</v>
      </c>
      <c r="E323" s="6" t="s">
        <v>12</v>
      </c>
      <c r="F323" s="6" t="s">
        <v>28</v>
      </c>
      <c r="G323" s="6" t="s">
        <v>20</v>
      </c>
      <c r="H323" s="7">
        <v>72243.59</v>
      </c>
      <c r="I323" s="7" t="str">
        <f t="shared" si="10"/>
        <v>80k-90k</v>
      </c>
      <c r="J323" s="6">
        <v>15</v>
      </c>
      <c r="K323" s="8">
        <f t="shared" si="11"/>
        <v>1083653.8499999999</v>
      </c>
      <c r="L323" s="6" t="s">
        <v>15</v>
      </c>
    </row>
    <row r="324" spans="1:12" x14ac:dyDescent="0.3">
      <c r="A324" s="6" t="s">
        <v>373</v>
      </c>
      <c r="B324" s="6" t="s">
        <v>38</v>
      </c>
      <c r="C324" s="6" t="s">
        <v>96</v>
      </c>
      <c r="D324" s="6">
        <v>2024</v>
      </c>
      <c r="E324" s="6" t="s">
        <v>31</v>
      </c>
      <c r="F324" s="6" t="s">
        <v>19</v>
      </c>
      <c r="G324" s="6" t="s">
        <v>20</v>
      </c>
      <c r="H324" s="7">
        <v>76945.41</v>
      </c>
      <c r="I324" s="7" t="str">
        <f t="shared" si="10"/>
        <v>80k-90k</v>
      </c>
      <c r="J324" s="6">
        <v>9</v>
      </c>
      <c r="K324" s="8">
        <f t="shared" si="11"/>
        <v>692508.69000000006</v>
      </c>
      <c r="L324" s="6" t="s">
        <v>15</v>
      </c>
    </row>
    <row r="325" spans="1:12" x14ac:dyDescent="0.3">
      <c r="A325" s="6" t="s">
        <v>374</v>
      </c>
      <c r="B325" s="6" t="s">
        <v>70</v>
      </c>
      <c r="C325" s="6" t="s">
        <v>71</v>
      </c>
      <c r="D325" s="6">
        <v>2021</v>
      </c>
      <c r="E325" s="6" t="s">
        <v>40</v>
      </c>
      <c r="F325" s="6" t="s">
        <v>19</v>
      </c>
      <c r="G325" s="6" t="s">
        <v>20</v>
      </c>
      <c r="H325" s="7">
        <v>58060.85</v>
      </c>
      <c r="I325" s="7" t="str">
        <f t="shared" si="10"/>
        <v>80k-90k</v>
      </c>
      <c r="J325" s="6">
        <v>12</v>
      </c>
      <c r="K325" s="8">
        <f t="shared" si="11"/>
        <v>696730.2</v>
      </c>
      <c r="L325" s="6" t="s">
        <v>36</v>
      </c>
    </row>
    <row r="326" spans="1:12" x14ac:dyDescent="0.3">
      <c r="A326" s="6" t="s">
        <v>375</v>
      </c>
      <c r="B326" s="6" t="s">
        <v>22</v>
      </c>
      <c r="C326" s="6" t="s">
        <v>105</v>
      </c>
      <c r="D326" s="6">
        <v>2017</v>
      </c>
      <c r="E326" s="6" t="s">
        <v>31</v>
      </c>
      <c r="F326" s="6" t="s">
        <v>13</v>
      </c>
      <c r="G326" s="6" t="s">
        <v>14</v>
      </c>
      <c r="H326" s="7">
        <v>49935.47</v>
      </c>
      <c r="I326" s="7" t="str">
        <f t="shared" si="10"/>
        <v>80k-90k</v>
      </c>
      <c r="J326" s="6">
        <v>11</v>
      </c>
      <c r="K326" s="8">
        <f t="shared" si="11"/>
        <v>549290.17000000004</v>
      </c>
      <c r="L326" s="6" t="s">
        <v>36</v>
      </c>
    </row>
    <row r="327" spans="1:12" x14ac:dyDescent="0.3">
      <c r="A327" s="6" t="s">
        <v>376</v>
      </c>
      <c r="B327" s="6" t="s">
        <v>26</v>
      </c>
      <c r="C327" s="6" t="s">
        <v>27</v>
      </c>
      <c r="D327" s="6">
        <v>2023</v>
      </c>
      <c r="E327" s="6" t="s">
        <v>12</v>
      </c>
      <c r="F327" s="6" t="s">
        <v>35</v>
      </c>
      <c r="G327" s="6" t="s">
        <v>14</v>
      </c>
      <c r="H327" s="7">
        <v>64065.66</v>
      </c>
      <c r="I327" s="7" t="str">
        <f t="shared" si="10"/>
        <v>80k-90k</v>
      </c>
      <c r="J327" s="6">
        <v>12</v>
      </c>
      <c r="K327" s="8">
        <f t="shared" si="11"/>
        <v>768787.92</v>
      </c>
      <c r="L327" s="6" t="s">
        <v>32</v>
      </c>
    </row>
    <row r="328" spans="1:12" x14ac:dyDescent="0.3">
      <c r="A328" s="6" t="s">
        <v>377</v>
      </c>
      <c r="B328" s="6" t="s">
        <v>17</v>
      </c>
      <c r="C328" s="6" t="s">
        <v>46</v>
      </c>
      <c r="D328" s="6">
        <v>2016</v>
      </c>
      <c r="E328" s="6" t="s">
        <v>12</v>
      </c>
      <c r="F328" s="6" t="s">
        <v>13</v>
      </c>
      <c r="G328" s="6" t="s">
        <v>14</v>
      </c>
      <c r="H328" s="7">
        <v>73630.87</v>
      </c>
      <c r="I328" s="7" t="str">
        <f t="shared" si="10"/>
        <v>80k-90k</v>
      </c>
      <c r="J328" s="6">
        <v>16</v>
      </c>
      <c r="K328" s="8">
        <f t="shared" si="11"/>
        <v>1178093.92</v>
      </c>
      <c r="L328" s="6" t="s">
        <v>15</v>
      </c>
    </row>
    <row r="329" spans="1:12" x14ac:dyDescent="0.3">
      <c r="A329" s="6" t="s">
        <v>378</v>
      </c>
      <c r="B329" s="6" t="s">
        <v>38</v>
      </c>
      <c r="C329" s="6" t="s">
        <v>65</v>
      </c>
      <c r="D329" s="6">
        <v>2019</v>
      </c>
      <c r="E329" s="6" t="s">
        <v>55</v>
      </c>
      <c r="F329" s="6" t="s">
        <v>19</v>
      </c>
      <c r="G329" s="6" t="s">
        <v>14</v>
      </c>
      <c r="H329" s="7">
        <v>91909.78</v>
      </c>
      <c r="I329" s="7" t="str">
        <f t="shared" si="10"/>
        <v>90k-1L</v>
      </c>
      <c r="J329" s="6">
        <v>12</v>
      </c>
      <c r="K329" s="8">
        <f t="shared" si="11"/>
        <v>1102917.3599999999</v>
      </c>
      <c r="L329" s="6" t="s">
        <v>32</v>
      </c>
    </row>
    <row r="330" spans="1:12" x14ac:dyDescent="0.3">
      <c r="A330" s="6" t="s">
        <v>379</v>
      </c>
      <c r="B330" s="6" t="s">
        <v>26</v>
      </c>
      <c r="C330" s="6" t="s">
        <v>27</v>
      </c>
      <c r="D330" s="6">
        <v>2016</v>
      </c>
      <c r="E330" s="6" t="s">
        <v>24</v>
      </c>
      <c r="F330" s="6" t="s">
        <v>35</v>
      </c>
      <c r="G330" s="6" t="s">
        <v>14</v>
      </c>
      <c r="H330" s="7">
        <v>24042.37</v>
      </c>
      <c r="I330" s="7" t="str">
        <f t="shared" si="10"/>
        <v>80k-90k</v>
      </c>
      <c r="J330" s="6">
        <v>12</v>
      </c>
      <c r="K330" s="8">
        <f t="shared" si="11"/>
        <v>288508.44</v>
      </c>
      <c r="L330" s="6" t="s">
        <v>32</v>
      </c>
    </row>
    <row r="331" spans="1:12" x14ac:dyDescent="0.3">
      <c r="A331" s="6" t="s">
        <v>380</v>
      </c>
      <c r="B331" s="6" t="s">
        <v>17</v>
      </c>
      <c r="C331" s="6" t="s">
        <v>46</v>
      </c>
      <c r="D331" s="6">
        <v>2015</v>
      </c>
      <c r="E331" s="6" t="s">
        <v>55</v>
      </c>
      <c r="F331" s="6" t="s">
        <v>28</v>
      </c>
      <c r="G331" s="6" t="s">
        <v>14</v>
      </c>
      <c r="H331" s="7">
        <v>86885.09</v>
      </c>
      <c r="I331" s="7" t="str">
        <f t="shared" si="10"/>
        <v>80k-90k</v>
      </c>
      <c r="J331" s="6">
        <v>5</v>
      </c>
      <c r="K331" s="8">
        <f t="shared" si="11"/>
        <v>434425.44999999995</v>
      </c>
      <c r="L331" s="6" t="s">
        <v>15</v>
      </c>
    </row>
    <row r="332" spans="1:12" x14ac:dyDescent="0.3">
      <c r="A332" s="6" t="s">
        <v>381</v>
      </c>
      <c r="B332" s="6" t="s">
        <v>552</v>
      </c>
      <c r="C332" s="6" t="s">
        <v>74</v>
      </c>
      <c r="D332" s="6">
        <v>2025</v>
      </c>
      <c r="E332" s="6" t="s">
        <v>31</v>
      </c>
      <c r="F332" s="6" t="s">
        <v>35</v>
      </c>
      <c r="G332" s="6" t="s">
        <v>14</v>
      </c>
      <c r="H332" s="7">
        <v>39257.79</v>
      </c>
      <c r="I332" s="7" t="str">
        <f t="shared" si="10"/>
        <v>80k-90k</v>
      </c>
      <c r="J332" s="6">
        <v>15</v>
      </c>
      <c r="K332" s="8">
        <f t="shared" si="11"/>
        <v>588866.85</v>
      </c>
      <c r="L332" s="6" t="s">
        <v>15</v>
      </c>
    </row>
    <row r="333" spans="1:12" x14ac:dyDescent="0.3">
      <c r="A333" s="6" t="s">
        <v>382</v>
      </c>
      <c r="B333" s="6" t="s">
        <v>43</v>
      </c>
      <c r="C333" s="6" t="s">
        <v>93</v>
      </c>
      <c r="D333" s="6">
        <v>2023</v>
      </c>
      <c r="E333" s="6" t="s">
        <v>48</v>
      </c>
      <c r="F333" s="6" t="s">
        <v>35</v>
      </c>
      <c r="G333" s="6" t="s">
        <v>14</v>
      </c>
      <c r="H333" s="7">
        <v>21666.03</v>
      </c>
      <c r="I333" s="7" t="str">
        <f t="shared" si="10"/>
        <v>80k-90k</v>
      </c>
      <c r="J333" s="6">
        <v>8</v>
      </c>
      <c r="K333" s="8">
        <f t="shared" si="11"/>
        <v>173328.24</v>
      </c>
      <c r="L333" s="6" t="s">
        <v>36</v>
      </c>
    </row>
    <row r="334" spans="1:12" x14ac:dyDescent="0.3">
      <c r="A334" s="6" t="s">
        <v>383</v>
      </c>
      <c r="B334" s="6" t="s">
        <v>22</v>
      </c>
      <c r="C334" s="6" t="s">
        <v>53</v>
      </c>
      <c r="D334" s="6">
        <v>2023</v>
      </c>
      <c r="E334" s="6" t="s">
        <v>55</v>
      </c>
      <c r="F334" s="6" t="s">
        <v>35</v>
      </c>
      <c r="G334" s="6" t="s">
        <v>14</v>
      </c>
      <c r="H334" s="7">
        <v>43315.59</v>
      </c>
      <c r="I334" s="7" t="str">
        <f t="shared" si="10"/>
        <v>80k-90k</v>
      </c>
      <c r="J334" s="6">
        <v>9</v>
      </c>
      <c r="K334" s="8">
        <f t="shared" si="11"/>
        <v>389840.30999999994</v>
      </c>
      <c r="L334" s="6" t="s">
        <v>15</v>
      </c>
    </row>
    <row r="335" spans="1:12" x14ac:dyDescent="0.3">
      <c r="A335" s="6" t="s">
        <v>384</v>
      </c>
      <c r="B335" s="6" t="s">
        <v>43</v>
      </c>
      <c r="C335" s="6" t="s">
        <v>44</v>
      </c>
      <c r="D335" s="6">
        <v>2019</v>
      </c>
      <c r="E335" s="6" t="s">
        <v>24</v>
      </c>
      <c r="F335" s="6" t="s">
        <v>35</v>
      </c>
      <c r="G335" s="6" t="s">
        <v>20</v>
      </c>
      <c r="H335" s="7">
        <v>86322.240000000005</v>
      </c>
      <c r="I335" s="7" t="str">
        <f t="shared" si="10"/>
        <v>80k-90k</v>
      </c>
      <c r="J335" s="6">
        <v>13</v>
      </c>
      <c r="K335" s="8">
        <f t="shared" si="11"/>
        <v>1122189.1200000001</v>
      </c>
      <c r="L335" s="6" t="s">
        <v>36</v>
      </c>
    </row>
    <row r="336" spans="1:12" x14ac:dyDescent="0.3">
      <c r="A336" s="6" t="s">
        <v>385</v>
      </c>
      <c r="B336" s="6" t="s">
        <v>43</v>
      </c>
      <c r="C336" s="6" t="s">
        <v>44</v>
      </c>
      <c r="D336" s="6">
        <v>2017</v>
      </c>
      <c r="E336" s="6" t="s">
        <v>31</v>
      </c>
      <c r="F336" s="6" t="s">
        <v>35</v>
      </c>
      <c r="G336" s="6" t="s">
        <v>20</v>
      </c>
      <c r="H336" s="7">
        <v>47842.6</v>
      </c>
      <c r="I336" s="7" t="str">
        <f t="shared" si="10"/>
        <v>80k-90k</v>
      </c>
      <c r="J336" s="6">
        <v>10</v>
      </c>
      <c r="K336" s="8">
        <f t="shared" si="11"/>
        <v>478426</v>
      </c>
      <c r="L336" s="6" t="s">
        <v>32</v>
      </c>
    </row>
    <row r="337" spans="1:12" x14ac:dyDescent="0.3">
      <c r="A337" s="6" t="s">
        <v>386</v>
      </c>
      <c r="B337" s="6" t="s">
        <v>17</v>
      </c>
      <c r="C337" s="6" t="s">
        <v>62</v>
      </c>
      <c r="D337" s="6">
        <v>2018</v>
      </c>
      <c r="E337" s="6" t="s">
        <v>31</v>
      </c>
      <c r="F337" s="6" t="s">
        <v>35</v>
      </c>
      <c r="G337" s="6" t="s">
        <v>20</v>
      </c>
      <c r="H337" s="7">
        <v>65420.55</v>
      </c>
      <c r="I337" s="7" t="str">
        <f t="shared" si="10"/>
        <v>80k-90k</v>
      </c>
      <c r="J337" s="6">
        <v>19</v>
      </c>
      <c r="K337" s="8">
        <f t="shared" si="11"/>
        <v>1242990.45</v>
      </c>
      <c r="L337" s="6" t="s">
        <v>15</v>
      </c>
    </row>
    <row r="338" spans="1:12" x14ac:dyDescent="0.3">
      <c r="A338" s="6" t="s">
        <v>387</v>
      </c>
      <c r="B338" s="6" t="s">
        <v>38</v>
      </c>
      <c r="C338" s="6" t="s">
        <v>39</v>
      </c>
      <c r="D338" s="6">
        <v>2025</v>
      </c>
      <c r="E338" s="6" t="s">
        <v>24</v>
      </c>
      <c r="F338" s="6" t="s">
        <v>19</v>
      </c>
      <c r="G338" s="6" t="s">
        <v>20</v>
      </c>
      <c r="H338" s="7">
        <v>93744.9</v>
      </c>
      <c r="I338" s="7" t="str">
        <f t="shared" si="10"/>
        <v>90k-1L</v>
      </c>
      <c r="J338" s="6">
        <v>8</v>
      </c>
      <c r="K338" s="8">
        <f t="shared" si="11"/>
        <v>749959.2</v>
      </c>
      <c r="L338" s="6" t="s">
        <v>32</v>
      </c>
    </row>
    <row r="339" spans="1:12" x14ac:dyDescent="0.3">
      <c r="A339" s="6" t="s">
        <v>388</v>
      </c>
      <c r="B339" s="6" t="s">
        <v>22</v>
      </c>
      <c r="C339" s="6" t="s">
        <v>23</v>
      </c>
      <c r="D339" s="6">
        <v>2018</v>
      </c>
      <c r="E339" s="6" t="s">
        <v>55</v>
      </c>
      <c r="F339" s="6" t="s">
        <v>19</v>
      </c>
      <c r="G339" s="6" t="s">
        <v>14</v>
      </c>
      <c r="H339" s="7">
        <v>26411.09</v>
      </c>
      <c r="I339" s="7" t="str">
        <f t="shared" si="10"/>
        <v>80k-90k</v>
      </c>
      <c r="J339" s="6">
        <v>20</v>
      </c>
      <c r="K339" s="8">
        <f t="shared" si="11"/>
        <v>528221.80000000005</v>
      </c>
      <c r="L339" s="6" t="s">
        <v>15</v>
      </c>
    </row>
    <row r="340" spans="1:12" x14ac:dyDescent="0.3">
      <c r="A340" s="6" t="s">
        <v>389</v>
      </c>
      <c r="B340" s="6" t="s">
        <v>22</v>
      </c>
      <c r="C340" s="6" t="s">
        <v>105</v>
      </c>
      <c r="D340" s="6">
        <v>2023</v>
      </c>
      <c r="E340" s="6" t="s">
        <v>12</v>
      </c>
      <c r="F340" s="6" t="s">
        <v>28</v>
      </c>
      <c r="G340" s="6" t="s">
        <v>14</v>
      </c>
      <c r="H340" s="7">
        <v>90237.8</v>
      </c>
      <c r="I340" s="7" t="str">
        <f t="shared" si="10"/>
        <v>90k-1L</v>
      </c>
      <c r="J340" s="6">
        <v>1</v>
      </c>
      <c r="K340" s="8">
        <f t="shared" si="11"/>
        <v>90237.8</v>
      </c>
      <c r="L340" s="6" t="s">
        <v>36</v>
      </c>
    </row>
    <row r="341" spans="1:12" x14ac:dyDescent="0.3">
      <c r="A341" s="6" t="s">
        <v>390</v>
      </c>
      <c r="B341" s="6" t="s">
        <v>17</v>
      </c>
      <c r="C341" s="6" t="s">
        <v>46</v>
      </c>
      <c r="D341" s="6">
        <v>2019</v>
      </c>
      <c r="E341" s="6" t="s">
        <v>40</v>
      </c>
      <c r="F341" s="6" t="s">
        <v>28</v>
      </c>
      <c r="G341" s="6" t="s">
        <v>20</v>
      </c>
      <c r="H341" s="7">
        <v>92883.27</v>
      </c>
      <c r="I341" s="7" t="str">
        <f t="shared" si="10"/>
        <v>90k-1L</v>
      </c>
      <c r="J341" s="6">
        <v>10</v>
      </c>
      <c r="K341" s="8">
        <f t="shared" si="11"/>
        <v>928832.70000000007</v>
      </c>
      <c r="L341" s="6" t="s">
        <v>36</v>
      </c>
    </row>
    <row r="342" spans="1:12" x14ac:dyDescent="0.3">
      <c r="A342" s="6" t="s">
        <v>391</v>
      </c>
      <c r="B342" s="6" t="s">
        <v>70</v>
      </c>
      <c r="C342" s="6" t="s">
        <v>114</v>
      </c>
      <c r="D342" s="6">
        <v>2019</v>
      </c>
      <c r="E342" s="6" t="s">
        <v>55</v>
      </c>
      <c r="F342" s="6" t="s">
        <v>19</v>
      </c>
      <c r="G342" s="6" t="s">
        <v>14</v>
      </c>
      <c r="H342" s="7">
        <v>53012.12</v>
      </c>
      <c r="I342" s="7" t="str">
        <f t="shared" si="10"/>
        <v>80k-90k</v>
      </c>
      <c r="J342" s="6">
        <v>20</v>
      </c>
      <c r="K342" s="8">
        <f t="shared" si="11"/>
        <v>1060242.4000000001</v>
      </c>
      <c r="L342" s="6" t="s">
        <v>32</v>
      </c>
    </row>
    <row r="343" spans="1:12" x14ac:dyDescent="0.3">
      <c r="A343" s="6" t="s">
        <v>392</v>
      </c>
      <c r="B343" s="6" t="s">
        <v>70</v>
      </c>
      <c r="C343" s="6" t="s">
        <v>114</v>
      </c>
      <c r="D343" s="6">
        <v>2022</v>
      </c>
      <c r="E343" s="6" t="s">
        <v>24</v>
      </c>
      <c r="F343" s="6" t="s">
        <v>13</v>
      </c>
      <c r="G343" s="6" t="s">
        <v>20</v>
      </c>
      <c r="H343" s="7">
        <v>35862.17</v>
      </c>
      <c r="I343" s="7" t="str">
        <f t="shared" si="10"/>
        <v>80k-90k</v>
      </c>
      <c r="J343" s="6">
        <v>7</v>
      </c>
      <c r="K343" s="8">
        <f t="shared" si="11"/>
        <v>251035.19</v>
      </c>
      <c r="L343" s="6" t="s">
        <v>36</v>
      </c>
    </row>
    <row r="344" spans="1:12" x14ac:dyDescent="0.3">
      <c r="A344" s="6" t="s">
        <v>393</v>
      </c>
      <c r="B344" s="6" t="s">
        <v>22</v>
      </c>
      <c r="C344" s="6" t="s">
        <v>23</v>
      </c>
      <c r="D344" s="6">
        <v>2016</v>
      </c>
      <c r="E344" s="6" t="s">
        <v>12</v>
      </c>
      <c r="F344" s="6" t="s">
        <v>13</v>
      </c>
      <c r="G344" s="6" t="s">
        <v>14</v>
      </c>
      <c r="H344" s="7">
        <v>30351.37</v>
      </c>
      <c r="I344" s="7" t="str">
        <f t="shared" si="10"/>
        <v>80k-90k</v>
      </c>
      <c r="J344" s="6">
        <v>18</v>
      </c>
      <c r="K344" s="8">
        <f t="shared" si="11"/>
        <v>546324.66</v>
      </c>
      <c r="L344" s="6" t="s">
        <v>15</v>
      </c>
    </row>
    <row r="345" spans="1:12" x14ac:dyDescent="0.3">
      <c r="A345" s="6" t="s">
        <v>394</v>
      </c>
      <c r="B345" s="6" t="s">
        <v>22</v>
      </c>
      <c r="C345" s="6" t="s">
        <v>105</v>
      </c>
      <c r="D345" s="6">
        <v>2019</v>
      </c>
      <c r="E345" s="6" t="s">
        <v>12</v>
      </c>
      <c r="F345" s="6" t="s">
        <v>28</v>
      </c>
      <c r="G345" s="6" t="s">
        <v>20</v>
      </c>
      <c r="H345" s="7">
        <v>83159.710000000006</v>
      </c>
      <c r="I345" s="7" t="str">
        <f t="shared" si="10"/>
        <v>80k-90k</v>
      </c>
      <c r="J345" s="6">
        <v>19</v>
      </c>
      <c r="K345" s="8">
        <f t="shared" si="11"/>
        <v>1580034.4900000002</v>
      </c>
      <c r="L345" s="6" t="s">
        <v>36</v>
      </c>
    </row>
    <row r="346" spans="1:12" x14ac:dyDescent="0.3">
      <c r="A346" s="6" t="s">
        <v>395</v>
      </c>
      <c r="B346" s="6" t="s">
        <v>22</v>
      </c>
      <c r="C346" s="6" t="s">
        <v>53</v>
      </c>
      <c r="D346" s="6">
        <v>2017</v>
      </c>
      <c r="E346" s="6" t="s">
        <v>12</v>
      </c>
      <c r="F346" s="6" t="s">
        <v>19</v>
      </c>
      <c r="G346" s="6" t="s">
        <v>14</v>
      </c>
      <c r="H346" s="7">
        <v>82070.94</v>
      </c>
      <c r="I346" s="7" t="str">
        <f t="shared" si="10"/>
        <v>80k-90k</v>
      </c>
      <c r="J346" s="6">
        <v>11</v>
      </c>
      <c r="K346" s="8">
        <f t="shared" si="11"/>
        <v>902780.34000000008</v>
      </c>
      <c r="L346" s="6" t="s">
        <v>15</v>
      </c>
    </row>
    <row r="347" spans="1:12" x14ac:dyDescent="0.3">
      <c r="A347" s="6" t="s">
        <v>396</v>
      </c>
      <c r="B347" s="6" t="s">
        <v>26</v>
      </c>
      <c r="C347" s="6" t="s">
        <v>74</v>
      </c>
      <c r="D347" s="6">
        <v>2017</v>
      </c>
      <c r="E347" s="6" t="s">
        <v>31</v>
      </c>
      <c r="F347" s="6" t="s">
        <v>35</v>
      </c>
      <c r="G347" s="6" t="s">
        <v>14</v>
      </c>
      <c r="H347" s="7">
        <v>86871.06</v>
      </c>
      <c r="I347" s="7" t="str">
        <f t="shared" si="10"/>
        <v>80k-90k</v>
      </c>
      <c r="J347" s="6">
        <v>5</v>
      </c>
      <c r="K347" s="8">
        <f t="shared" si="11"/>
        <v>434355.3</v>
      </c>
      <c r="L347" s="6" t="s">
        <v>32</v>
      </c>
    </row>
    <row r="348" spans="1:12" x14ac:dyDescent="0.3">
      <c r="A348" s="6" t="s">
        <v>397</v>
      </c>
      <c r="B348" s="6" t="s">
        <v>22</v>
      </c>
      <c r="C348" s="6" t="s">
        <v>53</v>
      </c>
      <c r="D348" s="6">
        <v>2021</v>
      </c>
      <c r="E348" s="6" t="s">
        <v>31</v>
      </c>
      <c r="F348" s="6" t="s">
        <v>35</v>
      </c>
      <c r="G348" s="6" t="s">
        <v>20</v>
      </c>
      <c r="H348" s="7">
        <v>52055.61</v>
      </c>
      <c r="I348" s="7" t="str">
        <f t="shared" si="10"/>
        <v>80k-90k</v>
      </c>
      <c r="J348" s="6">
        <v>7</v>
      </c>
      <c r="K348" s="8">
        <f t="shared" si="11"/>
        <v>364389.27</v>
      </c>
      <c r="L348" s="6" t="s">
        <v>32</v>
      </c>
    </row>
    <row r="349" spans="1:12" x14ac:dyDescent="0.3">
      <c r="A349" s="6" t="s">
        <v>398</v>
      </c>
      <c r="B349" s="6" t="s">
        <v>22</v>
      </c>
      <c r="C349" s="6" t="s">
        <v>105</v>
      </c>
      <c r="D349" s="6">
        <v>2023</v>
      </c>
      <c r="E349" s="6" t="s">
        <v>55</v>
      </c>
      <c r="F349" s="6" t="s">
        <v>13</v>
      </c>
      <c r="G349" s="6" t="s">
        <v>20</v>
      </c>
      <c r="H349" s="7">
        <v>51599.71</v>
      </c>
      <c r="I349" s="7" t="str">
        <f t="shared" si="10"/>
        <v>80k-90k</v>
      </c>
      <c r="J349" s="6">
        <v>18</v>
      </c>
      <c r="K349" s="8">
        <f t="shared" si="11"/>
        <v>928794.78</v>
      </c>
      <c r="L349" s="6" t="s">
        <v>32</v>
      </c>
    </row>
    <row r="350" spans="1:12" x14ac:dyDescent="0.3">
      <c r="A350" s="6" t="s">
        <v>399</v>
      </c>
      <c r="B350" s="6" t="s">
        <v>26</v>
      </c>
      <c r="C350" s="6" t="s">
        <v>74</v>
      </c>
      <c r="D350" s="6">
        <v>2019</v>
      </c>
      <c r="E350" s="6" t="s">
        <v>12</v>
      </c>
      <c r="F350" s="6" t="s">
        <v>19</v>
      </c>
      <c r="G350" s="6" t="s">
        <v>20</v>
      </c>
      <c r="H350" s="7">
        <v>16688.91</v>
      </c>
      <c r="I350" s="7" t="str">
        <f t="shared" si="10"/>
        <v>80k-90k</v>
      </c>
      <c r="J350" s="6">
        <v>1</v>
      </c>
      <c r="K350" s="8">
        <f t="shared" si="11"/>
        <v>16688.91</v>
      </c>
      <c r="L350" s="6" t="s">
        <v>32</v>
      </c>
    </row>
    <row r="351" spans="1:12" x14ac:dyDescent="0.3">
      <c r="A351" s="6" t="s">
        <v>400</v>
      </c>
      <c r="B351" s="6" t="s">
        <v>22</v>
      </c>
      <c r="C351" s="6" t="s">
        <v>23</v>
      </c>
      <c r="D351" s="6">
        <v>2017</v>
      </c>
      <c r="E351" s="6" t="s">
        <v>40</v>
      </c>
      <c r="F351" s="6" t="s">
        <v>28</v>
      </c>
      <c r="G351" s="6" t="s">
        <v>14</v>
      </c>
      <c r="H351" s="7">
        <v>53216.75</v>
      </c>
      <c r="I351" s="7" t="str">
        <f t="shared" si="10"/>
        <v>80k-90k</v>
      </c>
      <c r="J351" s="6">
        <v>6</v>
      </c>
      <c r="K351" s="8">
        <f t="shared" si="11"/>
        <v>319300.5</v>
      </c>
      <c r="L351" s="6" t="s">
        <v>15</v>
      </c>
    </row>
    <row r="352" spans="1:12" x14ac:dyDescent="0.3">
      <c r="A352" s="6" t="s">
        <v>401</v>
      </c>
      <c r="B352" s="6" t="s">
        <v>70</v>
      </c>
      <c r="C352" s="6" t="s">
        <v>114</v>
      </c>
      <c r="D352" s="6">
        <v>2022</v>
      </c>
      <c r="E352" s="6" t="s">
        <v>55</v>
      </c>
      <c r="F352" s="6" t="s">
        <v>35</v>
      </c>
      <c r="G352" s="6" t="s">
        <v>20</v>
      </c>
      <c r="H352" s="7">
        <v>52463.23</v>
      </c>
      <c r="I352" s="7" t="str">
        <f t="shared" si="10"/>
        <v>80k-90k</v>
      </c>
      <c r="J352" s="6">
        <v>15</v>
      </c>
      <c r="K352" s="8">
        <f t="shared" si="11"/>
        <v>786948.45000000007</v>
      </c>
      <c r="L352" s="6" t="s">
        <v>36</v>
      </c>
    </row>
    <row r="353" spans="1:12" x14ac:dyDescent="0.3">
      <c r="A353" s="6" t="s">
        <v>402</v>
      </c>
      <c r="B353" s="6" t="s">
        <v>70</v>
      </c>
      <c r="C353" s="6" t="s">
        <v>114</v>
      </c>
      <c r="D353" s="6">
        <v>2020</v>
      </c>
      <c r="E353" s="6" t="s">
        <v>40</v>
      </c>
      <c r="F353" s="6" t="s">
        <v>13</v>
      </c>
      <c r="G353" s="6" t="s">
        <v>14</v>
      </c>
      <c r="H353" s="7">
        <v>30658.1</v>
      </c>
      <c r="I353" s="7" t="str">
        <f t="shared" si="10"/>
        <v>80k-90k</v>
      </c>
      <c r="J353" s="6">
        <v>1</v>
      </c>
      <c r="K353" s="8">
        <f t="shared" si="11"/>
        <v>30658.1</v>
      </c>
      <c r="L353" s="6" t="s">
        <v>36</v>
      </c>
    </row>
    <row r="354" spans="1:12" x14ac:dyDescent="0.3">
      <c r="A354" s="6" t="s">
        <v>403</v>
      </c>
      <c r="B354" s="6" t="s">
        <v>17</v>
      </c>
      <c r="C354" s="6" t="s">
        <v>46</v>
      </c>
      <c r="D354" s="6">
        <v>2017</v>
      </c>
      <c r="E354" s="6" t="s">
        <v>55</v>
      </c>
      <c r="F354" s="6" t="s">
        <v>13</v>
      </c>
      <c r="G354" s="6" t="s">
        <v>14</v>
      </c>
      <c r="H354" s="7">
        <v>79853.55</v>
      </c>
      <c r="I354" s="7" t="str">
        <f t="shared" si="10"/>
        <v>80k-90k</v>
      </c>
      <c r="J354" s="6">
        <v>9</v>
      </c>
      <c r="K354" s="8">
        <f t="shared" si="11"/>
        <v>718681.95000000007</v>
      </c>
      <c r="L354" s="6" t="s">
        <v>32</v>
      </c>
    </row>
    <row r="355" spans="1:12" x14ac:dyDescent="0.3">
      <c r="A355" s="6" t="s">
        <v>404</v>
      </c>
      <c r="B355" s="6" t="s">
        <v>17</v>
      </c>
      <c r="C355" s="6" t="s">
        <v>62</v>
      </c>
      <c r="D355" s="6">
        <v>2019</v>
      </c>
      <c r="E355" s="6" t="s">
        <v>12</v>
      </c>
      <c r="F355" s="6" t="s">
        <v>19</v>
      </c>
      <c r="G355" s="6" t="s">
        <v>14</v>
      </c>
      <c r="H355" s="7">
        <v>21727.73</v>
      </c>
      <c r="I355" s="7" t="str">
        <f t="shared" si="10"/>
        <v>80k-90k</v>
      </c>
      <c r="J355" s="6">
        <v>7</v>
      </c>
      <c r="K355" s="8">
        <f t="shared" si="11"/>
        <v>152094.10999999999</v>
      </c>
      <c r="L355" s="6" t="s">
        <v>36</v>
      </c>
    </row>
    <row r="356" spans="1:12" x14ac:dyDescent="0.3">
      <c r="A356" s="6" t="s">
        <v>405</v>
      </c>
      <c r="B356" s="6" t="s">
        <v>10</v>
      </c>
      <c r="C356" s="6" t="s">
        <v>11</v>
      </c>
      <c r="D356" s="6">
        <v>2018</v>
      </c>
      <c r="E356" s="6" t="s">
        <v>55</v>
      </c>
      <c r="F356" s="6" t="s">
        <v>35</v>
      </c>
      <c r="G356" s="6" t="s">
        <v>20</v>
      </c>
      <c r="H356" s="7">
        <v>89064.3</v>
      </c>
      <c r="I356" s="7" t="str">
        <f t="shared" si="10"/>
        <v>80k-90k</v>
      </c>
      <c r="J356" s="6">
        <v>4</v>
      </c>
      <c r="K356" s="8">
        <f t="shared" si="11"/>
        <v>356257.2</v>
      </c>
      <c r="L356" s="6" t="s">
        <v>32</v>
      </c>
    </row>
    <row r="357" spans="1:12" x14ac:dyDescent="0.3">
      <c r="A357" s="6" t="s">
        <v>406</v>
      </c>
      <c r="B357" s="6" t="s">
        <v>22</v>
      </c>
      <c r="C357" s="6" t="s">
        <v>105</v>
      </c>
      <c r="D357" s="6">
        <v>2017</v>
      </c>
      <c r="E357" s="6" t="s">
        <v>48</v>
      </c>
      <c r="F357" s="6" t="s">
        <v>35</v>
      </c>
      <c r="G357" s="6" t="s">
        <v>14</v>
      </c>
      <c r="H357" s="7">
        <v>66192.899999999994</v>
      </c>
      <c r="I357" s="7" t="str">
        <f t="shared" si="10"/>
        <v>80k-90k</v>
      </c>
      <c r="J357" s="6">
        <v>6</v>
      </c>
      <c r="K357" s="8">
        <f t="shared" si="11"/>
        <v>397157.39999999997</v>
      </c>
      <c r="L357" s="6" t="s">
        <v>36</v>
      </c>
    </row>
    <row r="358" spans="1:12" x14ac:dyDescent="0.3">
      <c r="A358" s="6" t="s">
        <v>407</v>
      </c>
      <c r="B358" s="6" t="s">
        <v>10</v>
      </c>
      <c r="C358" s="6" t="s">
        <v>30</v>
      </c>
      <c r="D358" s="6">
        <v>2017</v>
      </c>
      <c r="E358" s="6" t="s">
        <v>55</v>
      </c>
      <c r="F358" s="6" t="s">
        <v>35</v>
      </c>
      <c r="G358" s="6" t="s">
        <v>14</v>
      </c>
      <c r="H358" s="7">
        <v>93494.38</v>
      </c>
      <c r="I358" s="7" t="str">
        <f t="shared" si="10"/>
        <v>90k-1L</v>
      </c>
      <c r="J358" s="6">
        <v>6</v>
      </c>
      <c r="K358" s="8">
        <f t="shared" si="11"/>
        <v>560966.28</v>
      </c>
      <c r="L358" s="6" t="s">
        <v>15</v>
      </c>
    </row>
    <row r="359" spans="1:12" x14ac:dyDescent="0.3">
      <c r="A359" s="6" t="s">
        <v>408</v>
      </c>
      <c r="B359" s="6" t="s">
        <v>17</v>
      </c>
      <c r="C359" s="6" t="s">
        <v>62</v>
      </c>
      <c r="D359" s="6">
        <v>2019</v>
      </c>
      <c r="E359" s="6" t="s">
        <v>40</v>
      </c>
      <c r="F359" s="6" t="s">
        <v>28</v>
      </c>
      <c r="G359" s="6" t="s">
        <v>14</v>
      </c>
      <c r="H359" s="7">
        <v>55936.19</v>
      </c>
      <c r="I359" s="7" t="str">
        <f t="shared" si="10"/>
        <v>80k-90k</v>
      </c>
      <c r="J359" s="6">
        <v>0</v>
      </c>
      <c r="K359" s="8">
        <f t="shared" si="11"/>
        <v>0</v>
      </c>
      <c r="L359" s="6" t="s">
        <v>36</v>
      </c>
    </row>
    <row r="360" spans="1:12" x14ac:dyDescent="0.3">
      <c r="A360" s="6" t="s">
        <v>409</v>
      </c>
      <c r="B360" s="6" t="s">
        <v>70</v>
      </c>
      <c r="C360" s="6" t="s">
        <v>114</v>
      </c>
      <c r="D360" s="6">
        <v>2025</v>
      </c>
      <c r="E360" s="6" t="s">
        <v>24</v>
      </c>
      <c r="F360" s="6" t="s">
        <v>19</v>
      </c>
      <c r="G360" s="6" t="s">
        <v>20</v>
      </c>
      <c r="H360" s="7">
        <v>96428.19</v>
      </c>
      <c r="I360" s="7" t="str">
        <f t="shared" si="10"/>
        <v>90k-1L</v>
      </c>
      <c r="J360" s="6">
        <v>8</v>
      </c>
      <c r="K360" s="8">
        <f t="shared" si="11"/>
        <v>771425.52</v>
      </c>
      <c r="L360" s="6" t="s">
        <v>36</v>
      </c>
    </row>
    <row r="361" spans="1:12" x14ac:dyDescent="0.3">
      <c r="A361" s="6" t="s">
        <v>410</v>
      </c>
      <c r="B361" s="6" t="s">
        <v>43</v>
      </c>
      <c r="C361" s="6" t="s">
        <v>93</v>
      </c>
      <c r="D361" s="6">
        <v>2022</v>
      </c>
      <c r="E361" s="6" t="s">
        <v>12</v>
      </c>
      <c r="F361" s="6" t="s">
        <v>13</v>
      </c>
      <c r="G361" s="6" t="s">
        <v>20</v>
      </c>
      <c r="H361" s="7">
        <v>95666.26</v>
      </c>
      <c r="I361" s="7" t="str">
        <f t="shared" si="10"/>
        <v>90k-1L</v>
      </c>
      <c r="J361" s="6">
        <v>2</v>
      </c>
      <c r="K361" s="8">
        <f t="shared" si="11"/>
        <v>191332.52</v>
      </c>
      <c r="L361" s="6" t="s">
        <v>15</v>
      </c>
    </row>
    <row r="362" spans="1:12" x14ac:dyDescent="0.3">
      <c r="A362" s="6" t="s">
        <v>411</v>
      </c>
      <c r="B362" s="6" t="s">
        <v>10</v>
      </c>
      <c r="C362" s="6" t="s">
        <v>30</v>
      </c>
      <c r="D362" s="6">
        <v>2023</v>
      </c>
      <c r="E362" s="6" t="s">
        <v>55</v>
      </c>
      <c r="F362" s="6" t="s">
        <v>19</v>
      </c>
      <c r="G362" s="6" t="s">
        <v>14</v>
      </c>
      <c r="H362" s="7">
        <v>55890.27</v>
      </c>
      <c r="I362" s="7" t="str">
        <f t="shared" si="10"/>
        <v>80k-90k</v>
      </c>
      <c r="J362" s="6">
        <v>14</v>
      </c>
      <c r="K362" s="8">
        <f t="shared" si="11"/>
        <v>782463.77999999991</v>
      </c>
      <c r="L362" s="6" t="s">
        <v>36</v>
      </c>
    </row>
    <row r="363" spans="1:12" x14ac:dyDescent="0.3">
      <c r="A363" s="6" t="s">
        <v>412</v>
      </c>
      <c r="B363" s="6" t="s">
        <v>43</v>
      </c>
      <c r="C363" s="6" t="s">
        <v>93</v>
      </c>
      <c r="D363" s="6">
        <v>2016</v>
      </c>
      <c r="E363" s="6" t="s">
        <v>31</v>
      </c>
      <c r="F363" s="6" t="s">
        <v>13</v>
      </c>
      <c r="G363" s="6" t="s">
        <v>14</v>
      </c>
      <c r="H363" s="7">
        <v>96776.11</v>
      </c>
      <c r="I363" s="7" t="str">
        <f t="shared" si="10"/>
        <v>90k-1L</v>
      </c>
      <c r="J363" s="6">
        <v>2</v>
      </c>
      <c r="K363" s="8">
        <f t="shared" si="11"/>
        <v>193552.22</v>
      </c>
      <c r="L363" s="6" t="s">
        <v>36</v>
      </c>
    </row>
    <row r="364" spans="1:12" x14ac:dyDescent="0.3">
      <c r="A364" s="6" t="s">
        <v>413</v>
      </c>
      <c r="B364" s="6" t="s">
        <v>22</v>
      </c>
      <c r="C364" s="6" t="s">
        <v>23</v>
      </c>
      <c r="D364" s="6">
        <v>2022</v>
      </c>
      <c r="E364" s="6" t="s">
        <v>48</v>
      </c>
      <c r="F364" s="6" t="s">
        <v>13</v>
      </c>
      <c r="G364" s="6" t="s">
        <v>20</v>
      </c>
      <c r="H364" s="7">
        <v>75124.7</v>
      </c>
      <c r="I364" s="7" t="str">
        <f t="shared" si="10"/>
        <v>80k-90k</v>
      </c>
      <c r="J364" s="6">
        <v>13</v>
      </c>
      <c r="K364" s="8">
        <f t="shared" si="11"/>
        <v>976621.1</v>
      </c>
      <c r="L364" s="6" t="s">
        <v>36</v>
      </c>
    </row>
    <row r="365" spans="1:12" x14ac:dyDescent="0.3">
      <c r="A365" s="6" t="s">
        <v>414</v>
      </c>
      <c r="B365" s="6" t="s">
        <v>70</v>
      </c>
      <c r="C365" s="6" t="s">
        <v>80</v>
      </c>
      <c r="D365" s="6">
        <v>2015</v>
      </c>
      <c r="E365" s="6" t="s">
        <v>24</v>
      </c>
      <c r="F365" s="6" t="s">
        <v>35</v>
      </c>
      <c r="G365" s="6" t="s">
        <v>20</v>
      </c>
      <c r="H365" s="7">
        <v>99989.119999999995</v>
      </c>
      <c r="I365" s="7" t="str">
        <f t="shared" si="10"/>
        <v>90k-1L</v>
      </c>
      <c r="J365" s="6">
        <v>3</v>
      </c>
      <c r="K365" s="8">
        <f t="shared" si="11"/>
        <v>299967.35999999999</v>
      </c>
      <c r="L365" s="6" t="s">
        <v>15</v>
      </c>
    </row>
    <row r="366" spans="1:12" x14ac:dyDescent="0.3">
      <c r="A366" s="6" t="s">
        <v>415</v>
      </c>
      <c r="B366" s="6" t="s">
        <v>26</v>
      </c>
      <c r="C366" s="6" t="s">
        <v>34</v>
      </c>
      <c r="D366" s="6">
        <v>2024</v>
      </c>
      <c r="E366" s="6" t="s">
        <v>55</v>
      </c>
      <c r="F366" s="6" t="s">
        <v>35</v>
      </c>
      <c r="G366" s="6" t="s">
        <v>14</v>
      </c>
      <c r="H366" s="7">
        <v>24071.71</v>
      </c>
      <c r="I366" s="7" t="str">
        <f t="shared" si="10"/>
        <v>80k-90k</v>
      </c>
      <c r="J366" s="6">
        <v>5</v>
      </c>
      <c r="K366" s="8">
        <f t="shared" si="11"/>
        <v>120358.54999999999</v>
      </c>
      <c r="L366" s="6" t="s">
        <v>15</v>
      </c>
    </row>
    <row r="367" spans="1:12" x14ac:dyDescent="0.3">
      <c r="A367" s="6" t="s">
        <v>416</v>
      </c>
      <c r="B367" s="6" t="s">
        <v>70</v>
      </c>
      <c r="C367" s="6" t="s">
        <v>80</v>
      </c>
      <c r="D367" s="6">
        <v>2023</v>
      </c>
      <c r="E367" s="6" t="s">
        <v>12</v>
      </c>
      <c r="F367" s="6" t="s">
        <v>13</v>
      </c>
      <c r="G367" s="6" t="s">
        <v>20</v>
      </c>
      <c r="H367" s="7">
        <v>57296.32</v>
      </c>
      <c r="I367" s="7" t="str">
        <f t="shared" si="10"/>
        <v>80k-90k</v>
      </c>
      <c r="J367" s="6">
        <v>12</v>
      </c>
      <c r="K367" s="8">
        <f t="shared" si="11"/>
        <v>687555.84</v>
      </c>
      <c r="L367" s="6" t="s">
        <v>32</v>
      </c>
    </row>
    <row r="368" spans="1:12" x14ac:dyDescent="0.3">
      <c r="A368" s="6" t="s">
        <v>417</v>
      </c>
      <c r="B368" s="6" t="s">
        <v>26</v>
      </c>
      <c r="C368" s="6" t="s">
        <v>34</v>
      </c>
      <c r="D368" s="6">
        <v>2022</v>
      </c>
      <c r="E368" s="6" t="s">
        <v>55</v>
      </c>
      <c r="F368" s="6" t="s">
        <v>13</v>
      </c>
      <c r="G368" s="6" t="s">
        <v>14</v>
      </c>
      <c r="H368" s="7">
        <v>56171.44</v>
      </c>
      <c r="I368" s="7" t="str">
        <f t="shared" si="10"/>
        <v>80k-90k</v>
      </c>
      <c r="J368" s="6">
        <v>4</v>
      </c>
      <c r="K368" s="8">
        <f t="shared" si="11"/>
        <v>224685.76</v>
      </c>
      <c r="L368" s="6" t="s">
        <v>36</v>
      </c>
    </row>
    <row r="369" spans="1:12" x14ac:dyDescent="0.3">
      <c r="A369" s="6" t="s">
        <v>418</v>
      </c>
      <c r="B369" s="6" t="s">
        <v>17</v>
      </c>
      <c r="C369" s="6" t="s">
        <v>18</v>
      </c>
      <c r="D369" s="6">
        <v>2017</v>
      </c>
      <c r="E369" s="6" t="s">
        <v>40</v>
      </c>
      <c r="F369" s="6" t="s">
        <v>35</v>
      </c>
      <c r="G369" s="6" t="s">
        <v>20</v>
      </c>
      <c r="H369" s="7">
        <v>35856.76</v>
      </c>
      <c r="I369" s="7" t="str">
        <f t="shared" si="10"/>
        <v>80k-90k</v>
      </c>
      <c r="J369" s="6">
        <v>10</v>
      </c>
      <c r="K369" s="8">
        <f t="shared" si="11"/>
        <v>358567.60000000003</v>
      </c>
      <c r="L369" s="6" t="s">
        <v>15</v>
      </c>
    </row>
    <row r="370" spans="1:12" x14ac:dyDescent="0.3">
      <c r="A370" s="6" t="s">
        <v>419</v>
      </c>
      <c r="B370" s="6" t="s">
        <v>43</v>
      </c>
      <c r="C370" s="6" t="s">
        <v>93</v>
      </c>
      <c r="D370" s="6">
        <v>2017</v>
      </c>
      <c r="E370" s="6" t="s">
        <v>48</v>
      </c>
      <c r="F370" s="6" t="s">
        <v>13</v>
      </c>
      <c r="G370" s="6" t="s">
        <v>20</v>
      </c>
      <c r="H370" s="7">
        <v>72043.42</v>
      </c>
      <c r="I370" s="7" t="str">
        <f t="shared" si="10"/>
        <v>80k-90k</v>
      </c>
      <c r="J370" s="6">
        <v>11</v>
      </c>
      <c r="K370" s="8">
        <f t="shared" si="11"/>
        <v>792477.62</v>
      </c>
      <c r="L370" s="6" t="s">
        <v>15</v>
      </c>
    </row>
    <row r="371" spans="1:12" x14ac:dyDescent="0.3">
      <c r="A371" s="6" t="s">
        <v>420</v>
      </c>
      <c r="B371" s="6" t="s">
        <v>22</v>
      </c>
      <c r="C371" s="6" t="s">
        <v>105</v>
      </c>
      <c r="D371" s="6">
        <v>2021</v>
      </c>
      <c r="E371" s="6" t="s">
        <v>31</v>
      </c>
      <c r="F371" s="6" t="s">
        <v>35</v>
      </c>
      <c r="G371" s="6" t="s">
        <v>20</v>
      </c>
      <c r="H371" s="7">
        <v>42812.59</v>
      </c>
      <c r="I371" s="7" t="str">
        <f t="shared" si="10"/>
        <v>80k-90k</v>
      </c>
      <c r="J371" s="6">
        <v>2</v>
      </c>
      <c r="K371" s="8">
        <f t="shared" si="11"/>
        <v>85625.18</v>
      </c>
      <c r="L371" s="6" t="s">
        <v>32</v>
      </c>
    </row>
    <row r="372" spans="1:12" x14ac:dyDescent="0.3">
      <c r="A372" s="6" t="s">
        <v>421</v>
      </c>
      <c r="B372" s="6" t="s">
        <v>17</v>
      </c>
      <c r="C372" s="6" t="s">
        <v>62</v>
      </c>
      <c r="D372" s="6">
        <v>2025</v>
      </c>
      <c r="E372" s="6" t="s">
        <v>24</v>
      </c>
      <c r="F372" s="6" t="s">
        <v>35</v>
      </c>
      <c r="G372" s="6" t="s">
        <v>20</v>
      </c>
      <c r="H372" s="7">
        <v>68216.44</v>
      </c>
      <c r="I372" s="7" t="str">
        <f t="shared" si="10"/>
        <v>80k-90k</v>
      </c>
      <c r="J372" s="6">
        <v>1</v>
      </c>
      <c r="K372" s="8">
        <f t="shared" si="11"/>
        <v>68216.44</v>
      </c>
      <c r="L372" s="6" t="s">
        <v>32</v>
      </c>
    </row>
    <row r="373" spans="1:12" x14ac:dyDescent="0.3">
      <c r="A373" s="6" t="s">
        <v>422</v>
      </c>
      <c r="B373" s="6" t="s">
        <v>26</v>
      </c>
      <c r="C373" s="6" t="s">
        <v>74</v>
      </c>
      <c r="D373" s="6">
        <v>2023</v>
      </c>
      <c r="E373" s="6" t="s">
        <v>12</v>
      </c>
      <c r="F373" s="6" t="s">
        <v>28</v>
      </c>
      <c r="G373" s="6" t="s">
        <v>14</v>
      </c>
      <c r="H373" s="7">
        <v>34068.800000000003</v>
      </c>
      <c r="I373" s="7" t="str">
        <f t="shared" si="10"/>
        <v>80k-90k</v>
      </c>
      <c r="J373" s="6">
        <v>14</v>
      </c>
      <c r="K373" s="8">
        <f t="shared" si="11"/>
        <v>476963.20000000007</v>
      </c>
      <c r="L373" s="6" t="s">
        <v>32</v>
      </c>
    </row>
    <row r="374" spans="1:12" x14ac:dyDescent="0.3">
      <c r="A374" s="6" t="s">
        <v>423</v>
      </c>
      <c r="B374" s="6" t="s">
        <v>26</v>
      </c>
      <c r="C374" s="6" t="s">
        <v>74</v>
      </c>
      <c r="D374" s="6">
        <v>2024</v>
      </c>
      <c r="E374" s="6" t="s">
        <v>55</v>
      </c>
      <c r="F374" s="6" t="s">
        <v>13</v>
      </c>
      <c r="G374" s="6" t="s">
        <v>20</v>
      </c>
      <c r="H374" s="7">
        <v>51461.64</v>
      </c>
      <c r="I374" s="7" t="str">
        <f t="shared" si="10"/>
        <v>80k-90k</v>
      </c>
      <c r="J374" s="6">
        <v>1</v>
      </c>
      <c r="K374" s="8">
        <f t="shared" si="11"/>
        <v>51461.64</v>
      </c>
      <c r="L374" s="6" t="s">
        <v>32</v>
      </c>
    </row>
    <row r="375" spans="1:12" x14ac:dyDescent="0.3">
      <c r="A375" s="6" t="s">
        <v>424</v>
      </c>
      <c r="B375" s="6" t="s">
        <v>22</v>
      </c>
      <c r="C375" s="6" t="s">
        <v>53</v>
      </c>
      <c r="D375" s="6">
        <v>2022</v>
      </c>
      <c r="E375" s="6" t="s">
        <v>55</v>
      </c>
      <c r="F375" s="6" t="s">
        <v>19</v>
      </c>
      <c r="G375" s="6" t="s">
        <v>20</v>
      </c>
      <c r="H375" s="7">
        <v>65384.54</v>
      </c>
      <c r="I375" s="7" t="str">
        <f t="shared" si="10"/>
        <v>80k-90k</v>
      </c>
      <c r="J375" s="6">
        <v>17</v>
      </c>
      <c r="K375" s="8">
        <f t="shared" si="11"/>
        <v>1111537.18</v>
      </c>
      <c r="L375" s="6" t="s">
        <v>36</v>
      </c>
    </row>
    <row r="376" spans="1:12" x14ac:dyDescent="0.3">
      <c r="A376" s="6" t="s">
        <v>425</v>
      </c>
      <c r="B376" s="6" t="s">
        <v>10</v>
      </c>
      <c r="C376" s="6" t="s">
        <v>11</v>
      </c>
      <c r="D376" s="6">
        <v>2017</v>
      </c>
      <c r="E376" s="6" t="s">
        <v>48</v>
      </c>
      <c r="F376" s="6" t="s">
        <v>35</v>
      </c>
      <c r="G376" s="6" t="s">
        <v>14</v>
      </c>
      <c r="H376" s="7">
        <v>21452.52</v>
      </c>
      <c r="I376" s="7" t="str">
        <f t="shared" si="10"/>
        <v>80k-90k</v>
      </c>
      <c r="J376" s="6">
        <v>20</v>
      </c>
      <c r="K376" s="8">
        <f t="shared" si="11"/>
        <v>429050.4</v>
      </c>
      <c r="L376" s="6" t="s">
        <v>32</v>
      </c>
    </row>
    <row r="377" spans="1:12" x14ac:dyDescent="0.3">
      <c r="A377" s="6" t="s">
        <v>426</v>
      </c>
      <c r="B377" s="6" t="s">
        <v>38</v>
      </c>
      <c r="C377" s="6" t="s">
        <v>65</v>
      </c>
      <c r="D377" s="6">
        <v>2021</v>
      </c>
      <c r="E377" s="6" t="s">
        <v>12</v>
      </c>
      <c r="F377" s="6" t="s">
        <v>13</v>
      </c>
      <c r="G377" s="6" t="s">
        <v>14</v>
      </c>
      <c r="H377" s="7">
        <v>92158.1</v>
      </c>
      <c r="I377" s="7" t="str">
        <f t="shared" si="10"/>
        <v>90k-1L</v>
      </c>
      <c r="J377" s="6">
        <v>6</v>
      </c>
      <c r="K377" s="8">
        <f t="shared" si="11"/>
        <v>552948.60000000009</v>
      </c>
      <c r="L377" s="6" t="s">
        <v>32</v>
      </c>
    </row>
    <row r="378" spans="1:12" x14ac:dyDescent="0.3">
      <c r="A378" s="6" t="s">
        <v>427</v>
      </c>
      <c r="B378" s="6" t="s">
        <v>22</v>
      </c>
      <c r="C378" s="6" t="s">
        <v>105</v>
      </c>
      <c r="D378" s="6">
        <v>2016</v>
      </c>
      <c r="E378" s="6" t="s">
        <v>48</v>
      </c>
      <c r="F378" s="6" t="s">
        <v>19</v>
      </c>
      <c r="G378" s="6" t="s">
        <v>20</v>
      </c>
      <c r="H378" s="7">
        <v>75290.48</v>
      </c>
      <c r="I378" s="7" t="str">
        <f t="shared" si="10"/>
        <v>80k-90k</v>
      </c>
      <c r="J378" s="6">
        <v>18</v>
      </c>
      <c r="K378" s="8">
        <f t="shared" si="11"/>
        <v>1355228.64</v>
      </c>
      <c r="L378" s="6" t="s">
        <v>36</v>
      </c>
    </row>
    <row r="379" spans="1:12" x14ac:dyDescent="0.3">
      <c r="A379" s="6" t="s">
        <v>428</v>
      </c>
      <c r="B379" s="6" t="s">
        <v>70</v>
      </c>
      <c r="C379" s="6" t="s">
        <v>71</v>
      </c>
      <c r="D379" s="6">
        <v>2021</v>
      </c>
      <c r="E379" s="6" t="s">
        <v>40</v>
      </c>
      <c r="F379" s="6" t="s">
        <v>19</v>
      </c>
      <c r="G379" s="6" t="s">
        <v>20</v>
      </c>
      <c r="H379" s="7">
        <v>19766.68</v>
      </c>
      <c r="I379" s="7" t="str">
        <f t="shared" si="10"/>
        <v>80k-90k</v>
      </c>
      <c r="J379" s="6">
        <v>7</v>
      </c>
      <c r="K379" s="8">
        <f t="shared" si="11"/>
        <v>138366.76</v>
      </c>
      <c r="L379" s="6" t="s">
        <v>32</v>
      </c>
    </row>
    <row r="380" spans="1:12" x14ac:dyDescent="0.3">
      <c r="A380" s="6" t="s">
        <v>429</v>
      </c>
      <c r="B380" s="6" t="s">
        <v>70</v>
      </c>
      <c r="C380" s="6" t="s">
        <v>80</v>
      </c>
      <c r="D380" s="6">
        <v>2016</v>
      </c>
      <c r="E380" s="6" t="s">
        <v>40</v>
      </c>
      <c r="F380" s="6" t="s">
        <v>13</v>
      </c>
      <c r="G380" s="6" t="s">
        <v>14</v>
      </c>
      <c r="H380" s="7">
        <v>94187.85</v>
      </c>
      <c r="I380" s="7" t="str">
        <f t="shared" si="10"/>
        <v>90k-1L</v>
      </c>
      <c r="J380" s="6">
        <v>13</v>
      </c>
      <c r="K380" s="8">
        <f t="shared" si="11"/>
        <v>1224442.05</v>
      </c>
      <c r="L380" s="6" t="s">
        <v>15</v>
      </c>
    </row>
    <row r="381" spans="1:12" x14ac:dyDescent="0.3">
      <c r="A381" s="6" t="s">
        <v>430</v>
      </c>
      <c r="B381" s="6" t="s">
        <v>43</v>
      </c>
      <c r="C381" s="6" t="s">
        <v>91</v>
      </c>
      <c r="D381" s="6">
        <v>2018</v>
      </c>
      <c r="E381" s="6" t="s">
        <v>24</v>
      </c>
      <c r="F381" s="6" t="s">
        <v>19</v>
      </c>
      <c r="G381" s="6" t="s">
        <v>20</v>
      </c>
      <c r="H381" s="7">
        <v>15287.73</v>
      </c>
      <c r="I381" s="7" t="str">
        <f t="shared" si="10"/>
        <v>80k-90k</v>
      </c>
      <c r="J381" s="6">
        <v>9</v>
      </c>
      <c r="K381" s="8">
        <f t="shared" si="11"/>
        <v>137589.57</v>
      </c>
      <c r="L381" s="6" t="s">
        <v>36</v>
      </c>
    </row>
    <row r="382" spans="1:12" x14ac:dyDescent="0.3">
      <c r="A382" s="6" t="s">
        <v>431</v>
      </c>
      <c r="B382" s="6" t="s">
        <v>10</v>
      </c>
      <c r="C382" s="6" t="s">
        <v>30</v>
      </c>
      <c r="D382" s="6">
        <v>2023</v>
      </c>
      <c r="E382" s="6" t="s">
        <v>55</v>
      </c>
      <c r="F382" s="6" t="s">
        <v>13</v>
      </c>
      <c r="G382" s="6" t="s">
        <v>14</v>
      </c>
      <c r="H382" s="7">
        <v>73265.22</v>
      </c>
      <c r="I382" s="7" t="str">
        <f t="shared" si="10"/>
        <v>80k-90k</v>
      </c>
      <c r="J382" s="6">
        <v>8</v>
      </c>
      <c r="K382" s="8">
        <f t="shared" si="11"/>
        <v>586121.76</v>
      </c>
      <c r="L382" s="6" t="s">
        <v>32</v>
      </c>
    </row>
    <row r="383" spans="1:12" x14ac:dyDescent="0.3">
      <c r="A383" s="6" t="s">
        <v>432</v>
      </c>
      <c r="B383" s="6" t="s">
        <v>22</v>
      </c>
      <c r="C383" s="6" t="s">
        <v>53</v>
      </c>
      <c r="D383" s="6">
        <v>2016</v>
      </c>
      <c r="E383" s="6" t="s">
        <v>55</v>
      </c>
      <c r="F383" s="6" t="s">
        <v>13</v>
      </c>
      <c r="G383" s="6" t="s">
        <v>14</v>
      </c>
      <c r="H383" s="7">
        <v>17936.62</v>
      </c>
      <c r="I383" s="7" t="str">
        <f t="shared" si="10"/>
        <v>80k-90k</v>
      </c>
      <c r="J383" s="6">
        <v>1</v>
      </c>
      <c r="K383" s="8">
        <f t="shared" si="11"/>
        <v>17936.62</v>
      </c>
      <c r="L383" s="6" t="s">
        <v>36</v>
      </c>
    </row>
    <row r="384" spans="1:12" x14ac:dyDescent="0.3">
      <c r="A384" s="6" t="s">
        <v>433</v>
      </c>
      <c r="B384" s="6" t="s">
        <v>70</v>
      </c>
      <c r="C384" s="6" t="s">
        <v>71</v>
      </c>
      <c r="D384" s="6">
        <v>2024</v>
      </c>
      <c r="E384" s="6" t="s">
        <v>12</v>
      </c>
      <c r="F384" s="6" t="s">
        <v>28</v>
      </c>
      <c r="G384" s="6" t="s">
        <v>20</v>
      </c>
      <c r="H384" s="7">
        <v>97407.23</v>
      </c>
      <c r="I384" s="7" t="str">
        <f t="shared" si="10"/>
        <v>90k-1L</v>
      </c>
      <c r="J384" s="6">
        <v>10</v>
      </c>
      <c r="K384" s="8">
        <f t="shared" si="11"/>
        <v>974072.29999999993</v>
      </c>
      <c r="L384" s="6" t="s">
        <v>32</v>
      </c>
    </row>
    <row r="385" spans="1:12" x14ac:dyDescent="0.3">
      <c r="A385" s="6" t="s">
        <v>434</v>
      </c>
      <c r="B385" s="6" t="s">
        <v>70</v>
      </c>
      <c r="C385" s="6" t="s">
        <v>80</v>
      </c>
      <c r="D385" s="6">
        <v>2018</v>
      </c>
      <c r="E385" s="6" t="s">
        <v>55</v>
      </c>
      <c r="F385" s="6" t="s">
        <v>28</v>
      </c>
      <c r="G385" s="6" t="s">
        <v>14</v>
      </c>
      <c r="H385" s="7">
        <v>54266.05</v>
      </c>
      <c r="I385" s="7" t="str">
        <f t="shared" si="10"/>
        <v>80k-90k</v>
      </c>
      <c r="J385" s="6">
        <v>12</v>
      </c>
      <c r="K385" s="8">
        <f t="shared" si="11"/>
        <v>651192.60000000009</v>
      </c>
      <c r="L385" s="6" t="s">
        <v>36</v>
      </c>
    </row>
    <row r="386" spans="1:12" x14ac:dyDescent="0.3">
      <c r="A386" s="6" t="s">
        <v>435</v>
      </c>
      <c r="B386" s="6" t="s">
        <v>17</v>
      </c>
      <c r="C386" s="6" t="s">
        <v>18</v>
      </c>
      <c r="D386" s="6">
        <v>2015</v>
      </c>
      <c r="E386" s="6" t="s">
        <v>55</v>
      </c>
      <c r="F386" s="6" t="s">
        <v>13</v>
      </c>
      <c r="G386" s="6" t="s">
        <v>14</v>
      </c>
      <c r="H386" s="7">
        <v>63705.91</v>
      </c>
      <c r="I386" s="7" t="str">
        <f t="shared" ref="I386:I449" si="12">IF(H386&lt;90000,"80k-90k",IF(H386&lt;100000,"90k-1L","1L+"))</f>
        <v>80k-90k</v>
      </c>
      <c r="J386" s="6">
        <v>1</v>
      </c>
      <c r="K386" s="8">
        <f t="shared" ref="K386:K449" si="13">PRODUCT(H386*J386)</f>
        <v>63705.91</v>
      </c>
      <c r="L386" s="6" t="s">
        <v>15</v>
      </c>
    </row>
    <row r="387" spans="1:12" x14ac:dyDescent="0.3">
      <c r="A387" s="6" t="s">
        <v>436</v>
      </c>
      <c r="B387" s="6" t="s">
        <v>38</v>
      </c>
      <c r="C387" s="6" t="s">
        <v>65</v>
      </c>
      <c r="D387" s="6">
        <v>2019</v>
      </c>
      <c r="E387" s="6" t="s">
        <v>48</v>
      </c>
      <c r="F387" s="6" t="s">
        <v>19</v>
      </c>
      <c r="G387" s="6" t="s">
        <v>14</v>
      </c>
      <c r="H387" s="7">
        <v>23456.77</v>
      </c>
      <c r="I387" s="7" t="str">
        <f t="shared" si="12"/>
        <v>80k-90k</v>
      </c>
      <c r="J387" s="6">
        <v>20</v>
      </c>
      <c r="K387" s="8">
        <f t="shared" si="13"/>
        <v>469135.4</v>
      </c>
      <c r="L387" s="6" t="s">
        <v>32</v>
      </c>
    </row>
    <row r="388" spans="1:12" x14ac:dyDescent="0.3">
      <c r="A388" s="6" t="s">
        <v>437</v>
      </c>
      <c r="B388" s="6" t="s">
        <v>10</v>
      </c>
      <c r="C388" s="6" t="s">
        <v>110</v>
      </c>
      <c r="D388" s="6">
        <v>2018</v>
      </c>
      <c r="E388" s="6" t="s">
        <v>40</v>
      </c>
      <c r="F388" s="6" t="s">
        <v>35</v>
      </c>
      <c r="G388" s="6" t="s">
        <v>14</v>
      </c>
      <c r="H388" s="7">
        <v>29727.24</v>
      </c>
      <c r="I388" s="7" t="str">
        <f t="shared" si="12"/>
        <v>80k-90k</v>
      </c>
      <c r="J388" s="6">
        <v>1</v>
      </c>
      <c r="K388" s="8">
        <f t="shared" si="13"/>
        <v>29727.24</v>
      </c>
      <c r="L388" s="6" t="s">
        <v>36</v>
      </c>
    </row>
    <row r="389" spans="1:12" x14ac:dyDescent="0.3">
      <c r="A389" s="6" t="s">
        <v>438</v>
      </c>
      <c r="B389" s="6" t="s">
        <v>26</v>
      </c>
      <c r="C389" s="6" t="s">
        <v>74</v>
      </c>
      <c r="D389" s="6">
        <v>2016</v>
      </c>
      <c r="E389" s="6" t="s">
        <v>48</v>
      </c>
      <c r="F389" s="6" t="s">
        <v>13</v>
      </c>
      <c r="G389" s="6" t="s">
        <v>20</v>
      </c>
      <c r="H389" s="7">
        <v>80106.33</v>
      </c>
      <c r="I389" s="7" t="str">
        <f t="shared" si="12"/>
        <v>80k-90k</v>
      </c>
      <c r="J389" s="6">
        <v>13</v>
      </c>
      <c r="K389" s="8">
        <f t="shared" si="13"/>
        <v>1041382.29</v>
      </c>
      <c r="L389" s="6" t="s">
        <v>15</v>
      </c>
    </row>
    <row r="390" spans="1:12" x14ac:dyDescent="0.3">
      <c r="A390" s="6" t="s">
        <v>439</v>
      </c>
      <c r="B390" s="6" t="s">
        <v>38</v>
      </c>
      <c r="C390" s="6" t="s">
        <v>65</v>
      </c>
      <c r="D390" s="6">
        <v>2020</v>
      </c>
      <c r="E390" s="6" t="s">
        <v>55</v>
      </c>
      <c r="F390" s="6" t="s">
        <v>19</v>
      </c>
      <c r="G390" s="6" t="s">
        <v>14</v>
      </c>
      <c r="H390" s="7">
        <v>36180.46</v>
      </c>
      <c r="I390" s="7" t="str">
        <f t="shared" si="12"/>
        <v>80k-90k</v>
      </c>
      <c r="J390" s="6">
        <v>1</v>
      </c>
      <c r="K390" s="8">
        <f t="shared" si="13"/>
        <v>36180.46</v>
      </c>
      <c r="L390" s="6" t="s">
        <v>36</v>
      </c>
    </row>
    <row r="391" spans="1:12" x14ac:dyDescent="0.3">
      <c r="A391" s="6" t="s">
        <v>440</v>
      </c>
      <c r="B391" s="6" t="s">
        <v>10</v>
      </c>
      <c r="C391" s="6" t="s">
        <v>30</v>
      </c>
      <c r="D391" s="6">
        <v>2023</v>
      </c>
      <c r="E391" s="6" t="s">
        <v>48</v>
      </c>
      <c r="F391" s="6" t="s">
        <v>28</v>
      </c>
      <c r="G391" s="6" t="s">
        <v>14</v>
      </c>
      <c r="H391" s="7">
        <v>74572.62</v>
      </c>
      <c r="I391" s="7" t="str">
        <f t="shared" si="12"/>
        <v>80k-90k</v>
      </c>
      <c r="J391" s="6">
        <v>10</v>
      </c>
      <c r="K391" s="8">
        <f t="shared" si="13"/>
        <v>745726.2</v>
      </c>
      <c r="L391" s="6" t="s">
        <v>32</v>
      </c>
    </row>
    <row r="392" spans="1:12" x14ac:dyDescent="0.3">
      <c r="A392" s="6" t="s">
        <v>441</v>
      </c>
      <c r="B392" s="6" t="s">
        <v>22</v>
      </c>
      <c r="C392" s="6" t="s">
        <v>105</v>
      </c>
      <c r="D392" s="6">
        <v>2023</v>
      </c>
      <c r="E392" s="6" t="s">
        <v>24</v>
      </c>
      <c r="F392" s="6" t="s">
        <v>13</v>
      </c>
      <c r="G392" s="6" t="s">
        <v>14</v>
      </c>
      <c r="H392" s="7">
        <v>39960.25</v>
      </c>
      <c r="I392" s="7" t="str">
        <f t="shared" si="12"/>
        <v>80k-90k</v>
      </c>
      <c r="J392" s="6">
        <v>1</v>
      </c>
      <c r="K392" s="8">
        <f t="shared" si="13"/>
        <v>39960.25</v>
      </c>
      <c r="L392" s="6" t="s">
        <v>32</v>
      </c>
    </row>
    <row r="393" spans="1:12" x14ac:dyDescent="0.3">
      <c r="A393" s="6" t="s">
        <v>442</v>
      </c>
      <c r="B393" s="6" t="s">
        <v>22</v>
      </c>
      <c r="C393" s="6" t="s">
        <v>23</v>
      </c>
      <c r="D393" s="6">
        <v>2020</v>
      </c>
      <c r="E393" s="6" t="s">
        <v>31</v>
      </c>
      <c r="F393" s="6" t="s">
        <v>19</v>
      </c>
      <c r="G393" s="6" t="s">
        <v>14</v>
      </c>
      <c r="H393" s="7">
        <v>88353.45</v>
      </c>
      <c r="I393" s="7" t="str">
        <f t="shared" si="12"/>
        <v>80k-90k</v>
      </c>
      <c r="J393" s="6">
        <v>11</v>
      </c>
      <c r="K393" s="8">
        <f t="shared" si="13"/>
        <v>971887.95</v>
      </c>
      <c r="L393" s="6" t="s">
        <v>36</v>
      </c>
    </row>
    <row r="394" spans="1:12" x14ac:dyDescent="0.3">
      <c r="A394" s="6" t="s">
        <v>443</v>
      </c>
      <c r="B394" s="6" t="s">
        <v>26</v>
      </c>
      <c r="C394" s="6" t="s">
        <v>74</v>
      </c>
      <c r="D394" s="6">
        <v>2018</v>
      </c>
      <c r="E394" s="6" t="s">
        <v>12</v>
      </c>
      <c r="F394" s="6" t="s">
        <v>28</v>
      </c>
      <c r="G394" s="6" t="s">
        <v>14</v>
      </c>
      <c r="H394" s="7">
        <v>71319.429999999993</v>
      </c>
      <c r="I394" s="7" t="str">
        <f t="shared" si="12"/>
        <v>80k-90k</v>
      </c>
      <c r="J394" s="6">
        <v>15</v>
      </c>
      <c r="K394" s="8">
        <f t="shared" si="13"/>
        <v>1069791.45</v>
      </c>
      <c r="L394" s="6" t="s">
        <v>32</v>
      </c>
    </row>
    <row r="395" spans="1:12" x14ac:dyDescent="0.3">
      <c r="A395" s="6" t="s">
        <v>444</v>
      </c>
      <c r="B395" s="6" t="s">
        <v>10</v>
      </c>
      <c r="C395" s="6" t="s">
        <v>30</v>
      </c>
      <c r="D395" s="6">
        <v>2022</v>
      </c>
      <c r="E395" s="6" t="s">
        <v>24</v>
      </c>
      <c r="F395" s="6" t="s">
        <v>35</v>
      </c>
      <c r="G395" s="6" t="s">
        <v>14</v>
      </c>
      <c r="H395" s="7">
        <v>75783.38</v>
      </c>
      <c r="I395" s="7" t="str">
        <f t="shared" si="12"/>
        <v>80k-90k</v>
      </c>
      <c r="J395" s="6">
        <v>8</v>
      </c>
      <c r="K395" s="8">
        <f t="shared" si="13"/>
        <v>606267.04</v>
      </c>
      <c r="L395" s="6" t="s">
        <v>15</v>
      </c>
    </row>
    <row r="396" spans="1:12" x14ac:dyDescent="0.3">
      <c r="A396" s="6" t="s">
        <v>445</v>
      </c>
      <c r="B396" s="6" t="s">
        <v>43</v>
      </c>
      <c r="C396" s="6" t="s">
        <v>93</v>
      </c>
      <c r="D396" s="6">
        <v>2016</v>
      </c>
      <c r="E396" s="6" t="s">
        <v>55</v>
      </c>
      <c r="F396" s="6" t="s">
        <v>35</v>
      </c>
      <c r="G396" s="6" t="s">
        <v>14</v>
      </c>
      <c r="H396" s="7">
        <v>38266.04</v>
      </c>
      <c r="I396" s="7" t="str">
        <f t="shared" si="12"/>
        <v>80k-90k</v>
      </c>
      <c r="J396" s="6">
        <v>0</v>
      </c>
      <c r="K396" s="8">
        <f t="shared" si="13"/>
        <v>0</v>
      </c>
      <c r="L396" s="6" t="s">
        <v>32</v>
      </c>
    </row>
    <row r="397" spans="1:12" x14ac:dyDescent="0.3">
      <c r="A397" s="6" t="s">
        <v>446</v>
      </c>
      <c r="B397" s="6" t="s">
        <v>10</v>
      </c>
      <c r="C397" s="6" t="s">
        <v>30</v>
      </c>
      <c r="D397" s="6">
        <v>2025</v>
      </c>
      <c r="E397" s="6" t="s">
        <v>40</v>
      </c>
      <c r="F397" s="6" t="s">
        <v>35</v>
      </c>
      <c r="G397" s="6" t="s">
        <v>14</v>
      </c>
      <c r="H397" s="7">
        <v>53727.95</v>
      </c>
      <c r="I397" s="7" t="str">
        <f t="shared" si="12"/>
        <v>80k-90k</v>
      </c>
      <c r="J397" s="6">
        <v>10</v>
      </c>
      <c r="K397" s="8">
        <f t="shared" si="13"/>
        <v>537279.5</v>
      </c>
      <c r="L397" s="6" t="s">
        <v>36</v>
      </c>
    </row>
    <row r="398" spans="1:12" x14ac:dyDescent="0.3">
      <c r="A398" s="6" t="s">
        <v>447</v>
      </c>
      <c r="B398" s="6" t="s">
        <v>70</v>
      </c>
      <c r="C398" s="6" t="s">
        <v>71</v>
      </c>
      <c r="D398" s="6">
        <v>2017</v>
      </c>
      <c r="E398" s="6" t="s">
        <v>48</v>
      </c>
      <c r="F398" s="6" t="s">
        <v>28</v>
      </c>
      <c r="G398" s="6" t="s">
        <v>20</v>
      </c>
      <c r="H398" s="7">
        <v>69972.710000000006</v>
      </c>
      <c r="I398" s="7" t="str">
        <f t="shared" si="12"/>
        <v>80k-90k</v>
      </c>
      <c r="J398" s="6">
        <v>18</v>
      </c>
      <c r="K398" s="8">
        <f t="shared" si="13"/>
        <v>1259508.78</v>
      </c>
      <c r="L398" s="6" t="s">
        <v>32</v>
      </c>
    </row>
    <row r="399" spans="1:12" x14ac:dyDescent="0.3">
      <c r="A399" s="6" t="s">
        <v>448</v>
      </c>
      <c r="B399" s="6" t="s">
        <v>38</v>
      </c>
      <c r="C399" s="6" t="s">
        <v>96</v>
      </c>
      <c r="D399" s="6">
        <v>2024</v>
      </c>
      <c r="E399" s="6" t="s">
        <v>24</v>
      </c>
      <c r="F399" s="6" t="s">
        <v>13</v>
      </c>
      <c r="G399" s="6" t="s">
        <v>14</v>
      </c>
      <c r="H399" s="7">
        <v>34260.620000000003</v>
      </c>
      <c r="I399" s="7" t="str">
        <f t="shared" si="12"/>
        <v>80k-90k</v>
      </c>
      <c r="J399" s="6">
        <v>3</v>
      </c>
      <c r="K399" s="8">
        <f t="shared" si="13"/>
        <v>102781.86000000002</v>
      </c>
      <c r="L399" s="6" t="s">
        <v>32</v>
      </c>
    </row>
    <row r="400" spans="1:12" x14ac:dyDescent="0.3">
      <c r="A400" s="6" t="s">
        <v>449</v>
      </c>
      <c r="B400" s="6" t="s">
        <v>22</v>
      </c>
      <c r="C400" s="6" t="s">
        <v>23</v>
      </c>
      <c r="D400" s="6">
        <v>2015</v>
      </c>
      <c r="E400" s="6" t="s">
        <v>55</v>
      </c>
      <c r="F400" s="6" t="s">
        <v>19</v>
      </c>
      <c r="G400" s="6" t="s">
        <v>20</v>
      </c>
      <c r="H400" s="7">
        <v>41514.29</v>
      </c>
      <c r="I400" s="7" t="str">
        <f t="shared" si="12"/>
        <v>80k-90k</v>
      </c>
      <c r="J400" s="6">
        <v>18</v>
      </c>
      <c r="K400" s="8">
        <f t="shared" si="13"/>
        <v>747257.22</v>
      </c>
      <c r="L400" s="6" t="s">
        <v>15</v>
      </c>
    </row>
    <row r="401" spans="1:12" x14ac:dyDescent="0.3">
      <c r="A401" s="6" t="s">
        <v>450</v>
      </c>
      <c r="B401" s="6" t="s">
        <v>70</v>
      </c>
      <c r="C401" s="6" t="s">
        <v>114</v>
      </c>
      <c r="D401" s="6">
        <v>2015</v>
      </c>
      <c r="E401" s="6" t="s">
        <v>12</v>
      </c>
      <c r="F401" s="6" t="s">
        <v>13</v>
      </c>
      <c r="G401" s="6" t="s">
        <v>20</v>
      </c>
      <c r="H401" s="7">
        <v>68707.48</v>
      </c>
      <c r="I401" s="7" t="str">
        <f t="shared" si="12"/>
        <v>80k-90k</v>
      </c>
      <c r="J401" s="6">
        <v>20</v>
      </c>
      <c r="K401" s="8">
        <f t="shared" si="13"/>
        <v>1374149.5999999999</v>
      </c>
      <c r="L401" s="6" t="s">
        <v>36</v>
      </c>
    </row>
    <row r="402" spans="1:12" x14ac:dyDescent="0.3">
      <c r="A402" s="6" t="s">
        <v>451</v>
      </c>
      <c r="B402" s="6" t="s">
        <v>10</v>
      </c>
      <c r="C402" s="6" t="s">
        <v>110</v>
      </c>
      <c r="D402" s="6">
        <v>2016</v>
      </c>
      <c r="E402" s="6" t="s">
        <v>40</v>
      </c>
      <c r="F402" s="6" t="s">
        <v>13</v>
      </c>
      <c r="G402" s="6" t="s">
        <v>14</v>
      </c>
      <c r="H402" s="7">
        <v>97026.32</v>
      </c>
      <c r="I402" s="7" t="str">
        <f t="shared" si="12"/>
        <v>90k-1L</v>
      </c>
      <c r="J402" s="6">
        <v>14</v>
      </c>
      <c r="K402" s="8">
        <f t="shared" si="13"/>
        <v>1358368.48</v>
      </c>
      <c r="L402" s="6" t="s">
        <v>32</v>
      </c>
    </row>
    <row r="403" spans="1:12" x14ac:dyDescent="0.3">
      <c r="A403" s="6" t="s">
        <v>452</v>
      </c>
      <c r="B403" s="6" t="s">
        <v>26</v>
      </c>
      <c r="C403" s="6" t="s">
        <v>27</v>
      </c>
      <c r="D403" s="6">
        <v>2025</v>
      </c>
      <c r="E403" s="6" t="s">
        <v>48</v>
      </c>
      <c r="F403" s="6" t="s">
        <v>28</v>
      </c>
      <c r="G403" s="6" t="s">
        <v>20</v>
      </c>
      <c r="H403" s="7">
        <v>89678.74</v>
      </c>
      <c r="I403" s="7" t="str">
        <f t="shared" si="12"/>
        <v>80k-90k</v>
      </c>
      <c r="J403" s="6">
        <v>1</v>
      </c>
      <c r="K403" s="8">
        <f t="shared" si="13"/>
        <v>89678.74</v>
      </c>
      <c r="L403" s="6" t="s">
        <v>36</v>
      </c>
    </row>
    <row r="404" spans="1:12" x14ac:dyDescent="0.3">
      <c r="A404" s="6" t="s">
        <v>453</v>
      </c>
      <c r="B404" s="6" t="s">
        <v>43</v>
      </c>
      <c r="C404" s="6" t="s">
        <v>91</v>
      </c>
      <c r="D404" s="6">
        <v>2015</v>
      </c>
      <c r="E404" s="6" t="s">
        <v>12</v>
      </c>
      <c r="F404" s="6" t="s">
        <v>35</v>
      </c>
      <c r="G404" s="6" t="s">
        <v>20</v>
      </c>
      <c r="H404" s="7">
        <v>94457.24</v>
      </c>
      <c r="I404" s="7" t="str">
        <f t="shared" si="12"/>
        <v>90k-1L</v>
      </c>
      <c r="J404" s="6">
        <v>18</v>
      </c>
      <c r="K404" s="8">
        <f t="shared" si="13"/>
        <v>1700230.32</v>
      </c>
      <c r="L404" s="6" t="s">
        <v>15</v>
      </c>
    </row>
    <row r="405" spans="1:12" x14ac:dyDescent="0.3">
      <c r="A405" s="6" t="s">
        <v>454</v>
      </c>
      <c r="B405" s="6" t="s">
        <v>38</v>
      </c>
      <c r="C405" s="6" t="s">
        <v>96</v>
      </c>
      <c r="D405" s="6">
        <v>2017</v>
      </c>
      <c r="E405" s="6" t="s">
        <v>48</v>
      </c>
      <c r="F405" s="6" t="s">
        <v>19</v>
      </c>
      <c r="G405" s="6" t="s">
        <v>14</v>
      </c>
      <c r="H405" s="7">
        <v>96698.43</v>
      </c>
      <c r="I405" s="7" t="str">
        <f t="shared" si="12"/>
        <v>90k-1L</v>
      </c>
      <c r="J405" s="6">
        <v>7</v>
      </c>
      <c r="K405" s="8">
        <f t="shared" si="13"/>
        <v>676889.01</v>
      </c>
      <c r="L405" s="6" t="s">
        <v>36</v>
      </c>
    </row>
    <row r="406" spans="1:12" x14ac:dyDescent="0.3">
      <c r="A406" s="6" t="s">
        <v>455</v>
      </c>
      <c r="B406" s="6" t="s">
        <v>70</v>
      </c>
      <c r="C406" s="6" t="s">
        <v>80</v>
      </c>
      <c r="D406" s="6">
        <v>2021</v>
      </c>
      <c r="E406" s="6" t="s">
        <v>12</v>
      </c>
      <c r="F406" s="6" t="s">
        <v>13</v>
      </c>
      <c r="G406" s="6" t="s">
        <v>20</v>
      </c>
      <c r="H406" s="7">
        <v>87910.41</v>
      </c>
      <c r="I406" s="7" t="str">
        <f t="shared" si="12"/>
        <v>80k-90k</v>
      </c>
      <c r="J406" s="6">
        <v>8</v>
      </c>
      <c r="K406" s="8">
        <f t="shared" si="13"/>
        <v>703283.28</v>
      </c>
      <c r="L406" s="6" t="s">
        <v>36</v>
      </c>
    </row>
    <row r="407" spans="1:12" x14ac:dyDescent="0.3">
      <c r="A407" s="6" t="s">
        <v>456</v>
      </c>
      <c r="B407" s="6" t="s">
        <v>17</v>
      </c>
      <c r="C407" s="6" t="s">
        <v>62</v>
      </c>
      <c r="D407" s="6">
        <v>2023</v>
      </c>
      <c r="E407" s="6" t="s">
        <v>55</v>
      </c>
      <c r="F407" s="6" t="s">
        <v>28</v>
      </c>
      <c r="G407" s="6" t="s">
        <v>14</v>
      </c>
      <c r="H407" s="7">
        <v>88806.92</v>
      </c>
      <c r="I407" s="7" t="str">
        <f t="shared" si="12"/>
        <v>80k-90k</v>
      </c>
      <c r="J407" s="6">
        <v>11</v>
      </c>
      <c r="K407" s="8">
        <f t="shared" si="13"/>
        <v>976876.12</v>
      </c>
      <c r="L407" s="6" t="s">
        <v>32</v>
      </c>
    </row>
    <row r="408" spans="1:12" x14ac:dyDescent="0.3">
      <c r="A408" s="6" t="s">
        <v>457</v>
      </c>
      <c r="B408" s="6" t="s">
        <v>10</v>
      </c>
      <c r="C408" s="6" t="s">
        <v>11</v>
      </c>
      <c r="D408" s="6">
        <v>2018</v>
      </c>
      <c r="E408" s="6" t="s">
        <v>40</v>
      </c>
      <c r="F408" s="6" t="s">
        <v>28</v>
      </c>
      <c r="G408" s="6" t="s">
        <v>14</v>
      </c>
      <c r="H408" s="7">
        <v>93761.81</v>
      </c>
      <c r="I408" s="7" t="str">
        <f t="shared" si="12"/>
        <v>90k-1L</v>
      </c>
      <c r="J408" s="6">
        <v>10</v>
      </c>
      <c r="K408" s="8">
        <f t="shared" si="13"/>
        <v>937618.1</v>
      </c>
      <c r="L408" s="6" t="s">
        <v>36</v>
      </c>
    </row>
    <row r="409" spans="1:12" x14ac:dyDescent="0.3">
      <c r="A409" s="6" t="s">
        <v>458</v>
      </c>
      <c r="B409" s="6" t="s">
        <v>70</v>
      </c>
      <c r="C409" s="6" t="s">
        <v>71</v>
      </c>
      <c r="D409" s="6">
        <v>2015</v>
      </c>
      <c r="E409" s="6" t="s">
        <v>48</v>
      </c>
      <c r="F409" s="6" t="s">
        <v>35</v>
      </c>
      <c r="G409" s="6" t="s">
        <v>14</v>
      </c>
      <c r="H409" s="7">
        <v>25314.9</v>
      </c>
      <c r="I409" s="7" t="str">
        <f t="shared" si="12"/>
        <v>80k-90k</v>
      </c>
      <c r="J409" s="6">
        <v>16</v>
      </c>
      <c r="K409" s="8">
        <f t="shared" si="13"/>
        <v>405038.4</v>
      </c>
      <c r="L409" s="6" t="s">
        <v>15</v>
      </c>
    </row>
    <row r="410" spans="1:12" x14ac:dyDescent="0.3">
      <c r="A410" s="6" t="s">
        <v>459</v>
      </c>
      <c r="B410" s="6" t="s">
        <v>43</v>
      </c>
      <c r="C410" s="6" t="s">
        <v>91</v>
      </c>
      <c r="D410" s="6">
        <v>2025</v>
      </c>
      <c r="E410" s="6" t="s">
        <v>55</v>
      </c>
      <c r="F410" s="6" t="s">
        <v>35</v>
      </c>
      <c r="G410" s="6" t="s">
        <v>20</v>
      </c>
      <c r="H410" s="7">
        <v>52323.95</v>
      </c>
      <c r="I410" s="7" t="str">
        <f t="shared" si="12"/>
        <v>80k-90k</v>
      </c>
      <c r="J410" s="6">
        <v>4</v>
      </c>
      <c r="K410" s="8">
        <f t="shared" si="13"/>
        <v>209295.8</v>
      </c>
      <c r="L410" s="6" t="s">
        <v>32</v>
      </c>
    </row>
    <row r="411" spans="1:12" x14ac:dyDescent="0.3">
      <c r="A411" s="6" t="s">
        <v>460</v>
      </c>
      <c r="B411" s="6" t="s">
        <v>38</v>
      </c>
      <c r="C411" s="6" t="s">
        <v>96</v>
      </c>
      <c r="D411" s="6">
        <v>2024</v>
      </c>
      <c r="E411" s="6" t="s">
        <v>24</v>
      </c>
      <c r="F411" s="6" t="s">
        <v>19</v>
      </c>
      <c r="G411" s="6" t="s">
        <v>14</v>
      </c>
      <c r="H411" s="7">
        <v>72708.59</v>
      </c>
      <c r="I411" s="7" t="str">
        <f t="shared" si="12"/>
        <v>80k-90k</v>
      </c>
      <c r="J411" s="6">
        <v>6</v>
      </c>
      <c r="K411" s="8">
        <f t="shared" si="13"/>
        <v>436251.54</v>
      </c>
      <c r="L411" s="6" t="s">
        <v>36</v>
      </c>
    </row>
    <row r="412" spans="1:12" x14ac:dyDescent="0.3">
      <c r="A412" s="6" t="s">
        <v>461</v>
      </c>
      <c r="B412" s="6" t="s">
        <v>70</v>
      </c>
      <c r="C412" s="6" t="s">
        <v>80</v>
      </c>
      <c r="D412" s="6">
        <v>2025</v>
      </c>
      <c r="E412" s="6" t="s">
        <v>40</v>
      </c>
      <c r="F412" s="6" t="s">
        <v>13</v>
      </c>
      <c r="G412" s="6" t="s">
        <v>14</v>
      </c>
      <c r="H412" s="7">
        <v>41377.019999999997</v>
      </c>
      <c r="I412" s="7" t="str">
        <f t="shared" si="12"/>
        <v>80k-90k</v>
      </c>
      <c r="J412" s="6">
        <v>2</v>
      </c>
      <c r="K412" s="8">
        <f t="shared" si="13"/>
        <v>82754.039999999994</v>
      </c>
      <c r="L412" s="6" t="s">
        <v>32</v>
      </c>
    </row>
    <row r="413" spans="1:12" x14ac:dyDescent="0.3">
      <c r="A413" s="6" t="s">
        <v>462</v>
      </c>
      <c r="B413" s="6" t="s">
        <v>22</v>
      </c>
      <c r="C413" s="6" t="s">
        <v>105</v>
      </c>
      <c r="D413" s="6">
        <v>2025</v>
      </c>
      <c r="E413" s="6" t="s">
        <v>48</v>
      </c>
      <c r="F413" s="6" t="s">
        <v>19</v>
      </c>
      <c r="G413" s="6" t="s">
        <v>14</v>
      </c>
      <c r="H413" s="7">
        <v>92927.72</v>
      </c>
      <c r="I413" s="7" t="str">
        <f t="shared" si="12"/>
        <v>90k-1L</v>
      </c>
      <c r="J413" s="6">
        <v>9</v>
      </c>
      <c r="K413" s="8">
        <f t="shared" si="13"/>
        <v>836349.48</v>
      </c>
      <c r="L413" s="6" t="s">
        <v>15</v>
      </c>
    </row>
    <row r="414" spans="1:12" x14ac:dyDescent="0.3">
      <c r="A414" s="6" t="s">
        <v>463</v>
      </c>
      <c r="B414" s="6" t="s">
        <v>43</v>
      </c>
      <c r="C414" s="6" t="s">
        <v>91</v>
      </c>
      <c r="D414" s="6">
        <v>2025</v>
      </c>
      <c r="E414" s="6" t="s">
        <v>40</v>
      </c>
      <c r="F414" s="6" t="s">
        <v>13</v>
      </c>
      <c r="G414" s="6" t="s">
        <v>20</v>
      </c>
      <c r="H414" s="7">
        <v>22416.75</v>
      </c>
      <c r="I414" s="7" t="str">
        <f t="shared" si="12"/>
        <v>80k-90k</v>
      </c>
      <c r="J414" s="6">
        <v>16</v>
      </c>
      <c r="K414" s="8">
        <f t="shared" si="13"/>
        <v>358668</v>
      </c>
      <c r="L414" s="6" t="s">
        <v>36</v>
      </c>
    </row>
    <row r="415" spans="1:12" x14ac:dyDescent="0.3">
      <c r="A415" s="6" t="s">
        <v>464</v>
      </c>
      <c r="B415" s="6" t="s">
        <v>70</v>
      </c>
      <c r="C415" s="6" t="s">
        <v>114</v>
      </c>
      <c r="D415" s="6">
        <v>2021</v>
      </c>
      <c r="E415" s="6" t="s">
        <v>48</v>
      </c>
      <c r="F415" s="6" t="s">
        <v>13</v>
      </c>
      <c r="G415" s="6" t="s">
        <v>20</v>
      </c>
      <c r="H415" s="7">
        <v>95358.71</v>
      </c>
      <c r="I415" s="7" t="str">
        <f t="shared" si="12"/>
        <v>90k-1L</v>
      </c>
      <c r="J415" s="6">
        <v>4</v>
      </c>
      <c r="K415" s="8">
        <f t="shared" si="13"/>
        <v>381434.84</v>
      </c>
      <c r="L415" s="6" t="s">
        <v>32</v>
      </c>
    </row>
    <row r="416" spans="1:12" x14ac:dyDescent="0.3">
      <c r="A416" s="6" t="s">
        <v>465</v>
      </c>
      <c r="B416" s="6" t="s">
        <v>43</v>
      </c>
      <c r="C416" s="6" t="s">
        <v>93</v>
      </c>
      <c r="D416" s="6">
        <v>2018</v>
      </c>
      <c r="E416" s="6" t="s">
        <v>12</v>
      </c>
      <c r="F416" s="6" t="s">
        <v>19</v>
      </c>
      <c r="G416" s="6" t="s">
        <v>20</v>
      </c>
      <c r="H416" s="7">
        <v>75830.05</v>
      </c>
      <c r="I416" s="7" t="str">
        <f t="shared" si="12"/>
        <v>80k-90k</v>
      </c>
      <c r="J416" s="6">
        <v>0</v>
      </c>
      <c r="K416" s="8">
        <f t="shared" si="13"/>
        <v>0</v>
      </c>
      <c r="L416" s="6" t="s">
        <v>15</v>
      </c>
    </row>
    <row r="417" spans="1:12" x14ac:dyDescent="0.3">
      <c r="A417" s="6" t="s">
        <v>466</v>
      </c>
      <c r="B417" s="6" t="s">
        <v>38</v>
      </c>
      <c r="C417" s="6" t="s">
        <v>39</v>
      </c>
      <c r="D417" s="6">
        <v>2022</v>
      </c>
      <c r="E417" s="6" t="s">
        <v>12</v>
      </c>
      <c r="F417" s="6" t="s">
        <v>13</v>
      </c>
      <c r="G417" s="6" t="s">
        <v>20</v>
      </c>
      <c r="H417" s="7">
        <v>40626.620000000003</v>
      </c>
      <c r="I417" s="7" t="str">
        <f t="shared" si="12"/>
        <v>80k-90k</v>
      </c>
      <c r="J417" s="6">
        <v>17</v>
      </c>
      <c r="K417" s="8">
        <f t="shared" si="13"/>
        <v>690652.54</v>
      </c>
      <c r="L417" s="6" t="s">
        <v>36</v>
      </c>
    </row>
    <row r="418" spans="1:12" x14ac:dyDescent="0.3">
      <c r="A418" s="6" t="s">
        <v>467</v>
      </c>
      <c r="B418" s="6" t="s">
        <v>38</v>
      </c>
      <c r="C418" s="6" t="s">
        <v>39</v>
      </c>
      <c r="D418" s="6">
        <v>2018</v>
      </c>
      <c r="E418" s="6" t="s">
        <v>55</v>
      </c>
      <c r="F418" s="6" t="s">
        <v>28</v>
      </c>
      <c r="G418" s="6" t="s">
        <v>14</v>
      </c>
      <c r="H418" s="7">
        <v>36408.74</v>
      </c>
      <c r="I418" s="7" t="str">
        <f t="shared" si="12"/>
        <v>80k-90k</v>
      </c>
      <c r="J418" s="6">
        <v>5</v>
      </c>
      <c r="K418" s="8">
        <f t="shared" si="13"/>
        <v>182043.69999999998</v>
      </c>
      <c r="L418" s="6" t="s">
        <v>32</v>
      </c>
    </row>
    <row r="419" spans="1:12" x14ac:dyDescent="0.3">
      <c r="A419" s="6" t="s">
        <v>468</v>
      </c>
      <c r="B419" s="6" t="s">
        <v>70</v>
      </c>
      <c r="C419" s="6" t="s">
        <v>114</v>
      </c>
      <c r="D419" s="6">
        <v>2020</v>
      </c>
      <c r="E419" s="6" t="s">
        <v>55</v>
      </c>
      <c r="F419" s="6" t="s">
        <v>28</v>
      </c>
      <c r="G419" s="6" t="s">
        <v>14</v>
      </c>
      <c r="H419" s="7">
        <v>97010.2</v>
      </c>
      <c r="I419" s="7" t="str">
        <f t="shared" si="12"/>
        <v>90k-1L</v>
      </c>
      <c r="J419" s="6">
        <v>13</v>
      </c>
      <c r="K419" s="8">
        <f t="shared" si="13"/>
        <v>1261132.5999999999</v>
      </c>
      <c r="L419" s="6" t="s">
        <v>15</v>
      </c>
    </row>
    <row r="420" spans="1:12" x14ac:dyDescent="0.3">
      <c r="A420" s="6" t="s">
        <v>469</v>
      </c>
      <c r="B420" s="6" t="s">
        <v>38</v>
      </c>
      <c r="C420" s="6" t="s">
        <v>65</v>
      </c>
      <c r="D420" s="6">
        <v>2024</v>
      </c>
      <c r="E420" s="6" t="s">
        <v>48</v>
      </c>
      <c r="F420" s="6" t="s">
        <v>28</v>
      </c>
      <c r="G420" s="6" t="s">
        <v>14</v>
      </c>
      <c r="H420" s="7">
        <v>33747.300000000003</v>
      </c>
      <c r="I420" s="7" t="str">
        <f t="shared" si="12"/>
        <v>80k-90k</v>
      </c>
      <c r="J420" s="6">
        <v>17</v>
      </c>
      <c r="K420" s="8">
        <f t="shared" si="13"/>
        <v>573704.10000000009</v>
      </c>
      <c r="L420" s="6" t="s">
        <v>32</v>
      </c>
    </row>
    <row r="421" spans="1:12" x14ac:dyDescent="0.3">
      <c r="A421" s="6" t="s">
        <v>470</v>
      </c>
      <c r="B421" s="6" t="s">
        <v>26</v>
      </c>
      <c r="C421" s="6" t="s">
        <v>34</v>
      </c>
      <c r="D421" s="6">
        <v>2024</v>
      </c>
      <c r="E421" s="6" t="s">
        <v>24</v>
      </c>
      <c r="F421" s="6" t="s">
        <v>19</v>
      </c>
      <c r="G421" s="6" t="s">
        <v>14</v>
      </c>
      <c r="H421" s="7">
        <v>26589.96</v>
      </c>
      <c r="I421" s="7" t="str">
        <f t="shared" si="12"/>
        <v>80k-90k</v>
      </c>
      <c r="J421" s="6">
        <v>7</v>
      </c>
      <c r="K421" s="8">
        <f t="shared" si="13"/>
        <v>186129.72</v>
      </c>
      <c r="L421" s="6" t="s">
        <v>36</v>
      </c>
    </row>
    <row r="422" spans="1:12" x14ac:dyDescent="0.3">
      <c r="A422" s="6" t="s">
        <v>471</v>
      </c>
      <c r="B422" s="6" t="s">
        <v>17</v>
      </c>
      <c r="C422" s="6" t="s">
        <v>62</v>
      </c>
      <c r="D422" s="6">
        <v>2021</v>
      </c>
      <c r="E422" s="6" t="s">
        <v>55</v>
      </c>
      <c r="F422" s="6" t="s">
        <v>35</v>
      </c>
      <c r="G422" s="6" t="s">
        <v>14</v>
      </c>
      <c r="H422" s="7">
        <v>99307.62</v>
      </c>
      <c r="I422" s="7" t="str">
        <f t="shared" si="12"/>
        <v>90k-1L</v>
      </c>
      <c r="J422" s="6">
        <v>5</v>
      </c>
      <c r="K422" s="8">
        <f t="shared" si="13"/>
        <v>496538.1</v>
      </c>
      <c r="L422" s="6" t="s">
        <v>32</v>
      </c>
    </row>
    <row r="423" spans="1:12" x14ac:dyDescent="0.3">
      <c r="A423" s="6" t="s">
        <v>472</v>
      </c>
      <c r="B423" s="6" t="s">
        <v>22</v>
      </c>
      <c r="C423" s="6" t="s">
        <v>105</v>
      </c>
      <c r="D423" s="6">
        <v>2024</v>
      </c>
      <c r="E423" s="6" t="s">
        <v>31</v>
      </c>
      <c r="F423" s="6" t="s">
        <v>19</v>
      </c>
      <c r="G423" s="6" t="s">
        <v>14</v>
      </c>
      <c r="H423" s="7">
        <v>67664.2</v>
      </c>
      <c r="I423" s="7" t="str">
        <f t="shared" si="12"/>
        <v>80k-90k</v>
      </c>
      <c r="J423" s="6">
        <v>6</v>
      </c>
      <c r="K423" s="8">
        <f t="shared" si="13"/>
        <v>405985.19999999995</v>
      </c>
      <c r="L423" s="6" t="s">
        <v>15</v>
      </c>
    </row>
    <row r="424" spans="1:12" x14ac:dyDescent="0.3">
      <c r="A424" s="6" t="s">
        <v>473</v>
      </c>
      <c r="B424" s="6" t="s">
        <v>43</v>
      </c>
      <c r="C424" s="6" t="s">
        <v>91</v>
      </c>
      <c r="D424" s="6">
        <v>2024</v>
      </c>
      <c r="E424" s="6" t="s">
        <v>48</v>
      </c>
      <c r="F424" s="6" t="s">
        <v>35</v>
      </c>
      <c r="G424" s="6" t="s">
        <v>14</v>
      </c>
      <c r="H424" s="7">
        <v>24443.71</v>
      </c>
      <c r="I424" s="7" t="str">
        <f t="shared" si="12"/>
        <v>80k-90k</v>
      </c>
      <c r="J424" s="6">
        <v>10</v>
      </c>
      <c r="K424" s="8">
        <f t="shared" si="13"/>
        <v>244437.09999999998</v>
      </c>
      <c r="L424" s="6" t="s">
        <v>36</v>
      </c>
    </row>
    <row r="425" spans="1:12" x14ac:dyDescent="0.3">
      <c r="A425" s="6" t="s">
        <v>474</v>
      </c>
      <c r="B425" s="6" t="s">
        <v>70</v>
      </c>
      <c r="C425" s="6" t="s">
        <v>80</v>
      </c>
      <c r="D425" s="6">
        <v>2019</v>
      </c>
      <c r="E425" s="6" t="s">
        <v>40</v>
      </c>
      <c r="F425" s="6" t="s">
        <v>19</v>
      </c>
      <c r="G425" s="6" t="s">
        <v>14</v>
      </c>
      <c r="H425" s="7">
        <v>70594.53</v>
      </c>
      <c r="I425" s="7" t="str">
        <f t="shared" si="12"/>
        <v>80k-90k</v>
      </c>
      <c r="J425" s="6">
        <v>4</v>
      </c>
      <c r="K425" s="8">
        <f t="shared" si="13"/>
        <v>282378.12</v>
      </c>
      <c r="L425" s="6" t="s">
        <v>36</v>
      </c>
    </row>
    <row r="426" spans="1:12" x14ac:dyDescent="0.3">
      <c r="A426" s="6" t="s">
        <v>475</v>
      </c>
      <c r="B426" s="6" t="s">
        <v>22</v>
      </c>
      <c r="C426" s="6" t="s">
        <v>23</v>
      </c>
      <c r="D426" s="6">
        <v>2020</v>
      </c>
      <c r="E426" s="6" t="s">
        <v>24</v>
      </c>
      <c r="F426" s="6" t="s">
        <v>13</v>
      </c>
      <c r="G426" s="6" t="s">
        <v>20</v>
      </c>
      <c r="H426" s="7">
        <v>70388.78</v>
      </c>
      <c r="I426" s="7" t="str">
        <f t="shared" si="12"/>
        <v>80k-90k</v>
      </c>
      <c r="J426" s="6">
        <v>9</v>
      </c>
      <c r="K426" s="8">
        <f t="shared" si="13"/>
        <v>633499.02</v>
      </c>
      <c r="L426" s="6" t="s">
        <v>15</v>
      </c>
    </row>
    <row r="427" spans="1:12" x14ac:dyDescent="0.3">
      <c r="A427" s="6" t="s">
        <v>476</v>
      </c>
      <c r="B427" s="6" t="s">
        <v>10</v>
      </c>
      <c r="C427" s="6" t="s">
        <v>30</v>
      </c>
      <c r="D427" s="6">
        <v>2019</v>
      </c>
      <c r="E427" s="6" t="s">
        <v>31</v>
      </c>
      <c r="F427" s="6" t="s">
        <v>35</v>
      </c>
      <c r="G427" s="6" t="s">
        <v>20</v>
      </c>
      <c r="H427" s="7">
        <v>20378.349999999999</v>
      </c>
      <c r="I427" s="7" t="str">
        <f t="shared" si="12"/>
        <v>80k-90k</v>
      </c>
      <c r="J427" s="6">
        <v>12</v>
      </c>
      <c r="K427" s="8">
        <f t="shared" si="13"/>
        <v>244540.19999999998</v>
      </c>
      <c r="L427" s="6" t="s">
        <v>15</v>
      </c>
    </row>
    <row r="428" spans="1:12" x14ac:dyDescent="0.3">
      <c r="A428" s="6" t="s">
        <v>477</v>
      </c>
      <c r="B428" s="6" t="s">
        <v>26</v>
      </c>
      <c r="C428" s="6" t="s">
        <v>74</v>
      </c>
      <c r="D428" s="6">
        <v>2017</v>
      </c>
      <c r="E428" s="6" t="s">
        <v>55</v>
      </c>
      <c r="F428" s="6" t="s">
        <v>35</v>
      </c>
      <c r="G428" s="6" t="s">
        <v>20</v>
      </c>
      <c r="H428" s="7">
        <v>72163.86</v>
      </c>
      <c r="I428" s="7" t="str">
        <f t="shared" si="12"/>
        <v>80k-90k</v>
      </c>
      <c r="J428" s="6">
        <v>4</v>
      </c>
      <c r="K428" s="8">
        <f t="shared" si="13"/>
        <v>288655.44</v>
      </c>
      <c r="L428" s="6" t="s">
        <v>32</v>
      </c>
    </row>
    <row r="429" spans="1:12" x14ac:dyDescent="0.3">
      <c r="A429" s="6" t="s">
        <v>478</v>
      </c>
      <c r="B429" s="6" t="s">
        <v>70</v>
      </c>
      <c r="C429" s="6" t="s">
        <v>80</v>
      </c>
      <c r="D429" s="6">
        <v>2022</v>
      </c>
      <c r="E429" s="6" t="s">
        <v>55</v>
      </c>
      <c r="F429" s="6" t="s">
        <v>28</v>
      </c>
      <c r="G429" s="6" t="s">
        <v>20</v>
      </c>
      <c r="H429" s="7">
        <v>81521.600000000006</v>
      </c>
      <c r="I429" s="7" t="str">
        <f t="shared" si="12"/>
        <v>80k-90k</v>
      </c>
      <c r="J429" s="6">
        <v>1</v>
      </c>
      <c r="K429" s="8">
        <f t="shared" si="13"/>
        <v>81521.600000000006</v>
      </c>
      <c r="L429" s="6" t="s">
        <v>36</v>
      </c>
    </row>
    <row r="430" spans="1:12" x14ac:dyDescent="0.3">
      <c r="A430" s="6" t="s">
        <v>479</v>
      </c>
      <c r="B430" s="6" t="s">
        <v>38</v>
      </c>
      <c r="C430" s="6" t="s">
        <v>65</v>
      </c>
      <c r="D430" s="6">
        <v>2016</v>
      </c>
      <c r="E430" s="6" t="s">
        <v>55</v>
      </c>
      <c r="F430" s="6" t="s">
        <v>28</v>
      </c>
      <c r="G430" s="6" t="s">
        <v>20</v>
      </c>
      <c r="H430" s="7">
        <v>46983.41</v>
      </c>
      <c r="I430" s="7" t="str">
        <f t="shared" si="12"/>
        <v>80k-90k</v>
      </c>
      <c r="J430" s="6">
        <v>0</v>
      </c>
      <c r="K430" s="8">
        <f t="shared" si="13"/>
        <v>0</v>
      </c>
      <c r="L430" s="6" t="s">
        <v>32</v>
      </c>
    </row>
    <row r="431" spans="1:12" x14ac:dyDescent="0.3">
      <c r="A431" s="6" t="s">
        <v>480</v>
      </c>
      <c r="B431" s="6" t="s">
        <v>38</v>
      </c>
      <c r="C431" s="6" t="s">
        <v>96</v>
      </c>
      <c r="D431" s="6">
        <v>2025</v>
      </c>
      <c r="E431" s="6" t="s">
        <v>40</v>
      </c>
      <c r="F431" s="6" t="s">
        <v>13</v>
      </c>
      <c r="G431" s="6" t="s">
        <v>20</v>
      </c>
      <c r="H431" s="7">
        <v>86656.17</v>
      </c>
      <c r="I431" s="7" t="str">
        <f t="shared" si="12"/>
        <v>80k-90k</v>
      </c>
      <c r="J431" s="6">
        <v>12</v>
      </c>
      <c r="K431" s="8">
        <f t="shared" si="13"/>
        <v>1039874.04</v>
      </c>
      <c r="L431" s="6" t="s">
        <v>32</v>
      </c>
    </row>
    <row r="432" spans="1:12" x14ac:dyDescent="0.3">
      <c r="A432" s="6" t="s">
        <v>481</v>
      </c>
      <c r="B432" s="6" t="s">
        <v>22</v>
      </c>
      <c r="C432" s="6" t="s">
        <v>105</v>
      </c>
      <c r="D432" s="6">
        <v>2017</v>
      </c>
      <c r="E432" s="6" t="s">
        <v>12</v>
      </c>
      <c r="F432" s="6" t="s">
        <v>35</v>
      </c>
      <c r="G432" s="6" t="s">
        <v>14</v>
      </c>
      <c r="H432" s="7">
        <v>21393.33</v>
      </c>
      <c r="I432" s="7" t="str">
        <f t="shared" si="12"/>
        <v>80k-90k</v>
      </c>
      <c r="J432" s="6">
        <v>6</v>
      </c>
      <c r="K432" s="8">
        <f t="shared" si="13"/>
        <v>128359.98000000001</v>
      </c>
      <c r="L432" s="6" t="s">
        <v>32</v>
      </c>
    </row>
    <row r="433" spans="1:12" x14ac:dyDescent="0.3">
      <c r="A433" s="6" t="s">
        <v>482</v>
      </c>
      <c r="B433" s="6" t="s">
        <v>26</v>
      </c>
      <c r="C433" s="6" t="s">
        <v>74</v>
      </c>
      <c r="D433" s="6">
        <v>2017</v>
      </c>
      <c r="E433" s="6" t="s">
        <v>48</v>
      </c>
      <c r="F433" s="6" t="s">
        <v>13</v>
      </c>
      <c r="G433" s="6" t="s">
        <v>14</v>
      </c>
      <c r="H433" s="7">
        <v>90207.03</v>
      </c>
      <c r="I433" s="7" t="str">
        <f t="shared" si="12"/>
        <v>90k-1L</v>
      </c>
      <c r="J433" s="6">
        <v>2</v>
      </c>
      <c r="K433" s="8">
        <f t="shared" si="13"/>
        <v>180414.06</v>
      </c>
      <c r="L433" s="6" t="s">
        <v>15</v>
      </c>
    </row>
    <row r="434" spans="1:12" x14ac:dyDescent="0.3">
      <c r="A434" s="6" t="s">
        <v>483</v>
      </c>
      <c r="B434" s="6" t="s">
        <v>22</v>
      </c>
      <c r="C434" s="6" t="s">
        <v>105</v>
      </c>
      <c r="D434" s="6">
        <v>2015</v>
      </c>
      <c r="E434" s="6" t="s">
        <v>12</v>
      </c>
      <c r="F434" s="6" t="s">
        <v>28</v>
      </c>
      <c r="G434" s="6" t="s">
        <v>14</v>
      </c>
      <c r="H434" s="7">
        <v>49078.51</v>
      </c>
      <c r="I434" s="7" t="str">
        <f t="shared" si="12"/>
        <v>80k-90k</v>
      </c>
      <c r="J434" s="6">
        <v>14</v>
      </c>
      <c r="K434" s="8">
        <f t="shared" si="13"/>
        <v>687099.14</v>
      </c>
      <c r="L434" s="6" t="s">
        <v>15</v>
      </c>
    </row>
    <row r="435" spans="1:12" x14ac:dyDescent="0.3">
      <c r="A435" s="6" t="s">
        <v>484</v>
      </c>
      <c r="B435" s="6" t="s">
        <v>22</v>
      </c>
      <c r="C435" s="6" t="s">
        <v>53</v>
      </c>
      <c r="D435" s="6">
        <v>2015</v>
      </c>
      <c r="E435" s="6" t="s">
        <v>40</v>
      </c>
      <c r="F435" s="6" t="s">
        <v>28</v>
      </c>
      <c r="G435" s="6" t="s">
        <v>20</v>
      </c>
      <c r="H435" s="7">
        <v>72226.720000000001</v>
      </c>
      <c r="I435" s="7" t="str">
        <f t="shared" si="12"/>
        <v>80k-90k</v>
      </c>
      <c r="J435" s="6">
        <v>3</v>
      </c>
      <c r="K435" s="8">
        <f t="shared" si="13"/>
        <v>216680.16</v>
      </c>
      <c r="L435" s="6" t="s">
        <v>36</v>
      </c>
    </row>
    <row r="436" spans="1:12" x14ac:dyDescent="0.3">
      <c r="A436" s="6" t="s">
        <v>485</v>
      </c>
      <c r="B436" s="6" t="s">
        <v>38</v>
      </c>
      <c r="C436" s="6" t="s">
        <v>65</v>
      </c>
      <c r="D436" s="6">
        <v>2019</v>
      </c>
      <c r="E436" s="6" t="s">
        <v>12</v>
      </c>
      <c r="F436" s="6" t="s">
        <v>13</v>
      </c>
      <c r="G436" s="6" t="s">
        <v>20</v>
      </c>
      <c r="H436" s="7">
        <v>45192.28</v>
      </c>
      <c r="I436" s="7" t="str">
        <f t="shared" si="12"/>
        <v>80k-90k</v>
      </c>
      <c r="J436" s="6">
        <v>15</v>
      </c>
      <c r="K436" s="8">
        <f t="shared" si="13"/>
        <v>677884.2</v>
      </c>
      <c r="L436" s="6" t="s">
        <v>36</v>
      </c>
    </row>
    <row r="437" spans="1:12" x14ac:dyDescent="0.3">
      <c r="A437" s="6" t="s">
        <v>486</v>
      </c>
      <c r="B437" s="6" t="s">
        <v>17</v>
      </c>
      <c r="C437" s="6" t="s">
        <v>62</v>
      </c>
      <c r="D437" s="6">
        <v>2016</v>
      </c>
      <c r="E437" s="6" t="s">
        <v>40</v>
      </c>
      <c r="F437" s="6" t="s">
        <v>19</v>
      </c>
      <c r="G437" s="6" t="s">
        <v>14</v>
      </c>
      <c r="H437" s="7">
        <v>25337.119999999999</v>
      </c>
      <c r="I437" s="7" t="str">
        <f t="shared" si="12"/>
        <v>80k-90k</v>
      </c>
      <c r="J437" s="6">
        <v>3</v>
      </c>
      <c r="K437" s="8">
        <f t="shared" si="13"/>
        <v>76011.360000000001</v>
      </c>
      <c r="L437" s="6" t="s">
        <v>32</v>
      </c>
    </row>
    <row r="438" spans="1:12" x14ac:dyDescent="0.3">
      <c r="A438" s="6" t="s">
        <v>487</v>
      </c>
      <c r="B438" s="6" t="s">
        <v>38</v>
      </c>
      <c r="C438" s="6" t="s">
        <v>96</v>
      </c>
      <c r="D438" s="6">
        <v>2018</v>
      </c>
      <c r="E438" s="6" t="s">
        <v>31</v>
      </c>
      <c r="F438" s="6" t="s">
        <v>35</v>
      </c>
      <c r="G438" s="6" t="s">
        <v>20</v>
      </c>
      <c r="H438" s="7">
        <v>67934.179999999993</v>
      </c>
      <c r="I438" s="7" t="str">
        <f t="shared" si="12"/>
        <v>80k-90k</v>
      </c>
      <c r="J438" s="6">
        <v>12</v>
      </c>
      <c r="K438" s="8">
        <f t="shared" si="13"/>
        <v>815210.15999999992</v>
      </c>
      <c r="L438" s="6" t="s">
        <v>15</v>
      </c>
    </row>
    <row r="439" spans="1:12" x14ac:dyDescent="0.3">
      <c r="A439" s="6" t="s">
        <v>488</v>
      </c>
      <c r="B439" s="6" t="s">
        <v>22</v>
      </c>
      <c r="C439" s="6" t="s">
        <v>105</v>
      </c>
      <c r="D439" s="6">
        <v>2025</v>
      </c>
      <c r="E439" s="6" t="s">
        <v>40</v>
      </c>
      <c r="F439" s="6" t="s">
        <v>19</v>
      </c>
      <c r="G439" s="6" t="s">
        <v>14</v>
      </c>
      <c r="H439" s="7">
        <v>99669.63</v>
      </c>
      <c r="I439" s="7" t="str">
        <f t="shared" si="12"/>
        <v>90k-1L</v>
      </c>
      <c r="J439" s="6">
        <v>7</v>
      </c>
      <c r="K439" s="8">
        <f t="shared" si="13"/>
        <v>697687.41</v>
      </c>
      <c r="L439" s="6" t="s">
        <v>15</v>
      </c>
    </row>
    <row r="440" spans="1:12" x14ac:dyDescent="0.3">
      <c r="A440" s="6" t="s">
        <v>489</v>
      </c>
      <c r="B440" s="6" t="s">
        <v>10</v>
      </c>
      <c r="C440" s="6" t="s">
        <v>11</v>
      </c>
      <c r="D440" s="6">
        <v>2020</v>
      </c>
      <c r="E440" s="6" t="s">
        <v>24</v>
      </c>
      <c r="F440" s="6" t="s">
        <v>19</v>
      </c>
      <c r="G440" s="6" t="s">
        <v>20</v>
      </c>
      <c r="H440" s="7">
        <v>62584.97</v>
      </c>
      <c r="I440" s="7" t="str">
        <f t="shared" si="12"/>
        <v>80k-90k</v>
      </c>
      <c r="J440" s="6">
        <v>14</v>
      </c>
      <c r="K440" s="8">
        <f t="shared" si="13"/>
        <v>876189.58000000007</v>
      </c>
      <c r="L440" s="6" t="s">
        <v>32</v>
      </c>
    </row>
    <row r="441" spans="1:12" x14ac:dyDescent="0.3">
      <c r="A441" s="6" t="s">
        <v>490</v>
      </c>
      <c r="B441" s="6" t="s">
        <v>26</v>
      </c>
      <c r="C441" s="6" t="s">
        <v>74</v>
      </c>
      <c r="D441" s="6">
        <v>2025</v>
      </c>
      <c r="E441" s="6" t="s">
        <v>40</v>
      </c>
      <c r="F441" s="6" t="s">
        <v>35</v>
      </c>
      <c r="G441" s="6" t="s">
        <v>14</v>
      </c>
      <c r="H441" s="7">
        <v>70576.600000000006</v>
      </c>
      <c r="I441" s="7" t="str">
        <f t="shared" si="12"/>
        <v>80k-90k</v>
      </c>
      <c r="J441" s="6">
        <v>17</v>
      </c>
      <c r="K441" s="8">
        <f t="shared" si="13"/>
        <v>1199802.2000000002</v>
      </c>
      <c r="L441" s="6" t="s">
        <v>36</v>
      </c>
    </row>
    <row r="442" spans="1:12" x14ac:dyDescent="0.3">
      <c r="A442" s="6" t="s">
        <v>491</v>
      </c>
      <c r="B442" s="6" t="s">
        <v>17</v>
      </c>
      <c r="C442" s="6" t="s">
        <v>18</v>
      </c>
      <c r="D442" s="6">
        <v>2016</v>
      </c>
      <c r="E442" s="6" t="s">
        <v>12</v>
      </c>
      <c r="F442" s="6" t="s">
        <v>19</v>
      </c>
      <c r="G442" s="6" t="s">
        <v>20</v>
      </c>
      <c r="H442" s="7">
        <v>77162.509999999995</v>
      </c>
      <c r="I442" s="7" t="str">
        <f t="shared" si="12"/>
        <v>80k-90k</v>
      </c>
      <c r="J442" s="6">
        <v>19</v>
      </c>
      <c r="K442" s="8">
        <f t="shared" si="13"/>
        <v>1466087.69</v>
      </c>
      <c r="L442" s="6" t="s">
        <v>15</v>
      </c>
    </row>
    <row r="443" spans="1:12" x14ac:dyDescent="0.3">
      <c r="A443" s="6" t="s">
        <v>492</v>
      </c>
      <c r="B443" s="6" t="s">
        <v>43</v>
      </c>
      <c r="C443" s="6" t="s">
        <v>44</v>
      </c>
      <c r="D443" s="6">
        <v>2019</v>
      </c>
      <c r="E443" s="6" t="s">
        <v>48</v>
      </c>
      <c r="F443" s="6" t="s">
        <v>13</v>
      </c>
      <c r="G443" s="6" t="s">
        <v>20</v>
      </c>
      <c r="H443" s="7">
        <v>99718.55</v>
      </c>
      <c r="I443" s="7" t="str">
        <f t="shared" si="12"/>
        <v>90k-1L</v>
      </c>
      <c r="J443" s="6">
        <v>6</v>
      </c>
      <c r="K443" s="8">
        <f t="shared" si="13"/>
        <v>598311.30000000005</v>
      </c>
      <c r="L443" s="6" t="s">
        <v>32</v>
      </c>
    </row>
    <row r="444" spans="1:12" x14ac:dyDescent="0.3">
      <c r="A444" s="6" t="s">
        <v>493</v>
      </c>
      <c r="B444" s="6" t="s">
        <v>22</v>
      </c>
      <c r="C444" s="6" t="s">
        <v>105</v>
      </c>
      <c r="D444" s="6">
        <v>2024</v>
      </c>
      <c r="E444" s="6" t="s">
        <v>55</v>
      </c>
      <c r="F444" s="6" t="s">
        <v>35</v>
      </c>
      <c r="G444" s="6" t="s">
        <v>20</v>
      </c>
      <c r="H444" s="7">
        <v>90545.9</v>
      </c>
      <c r="I444" s="7" t="str">
        <f t="shared" si="12"/>
        <v>90k-1L</v>
      </c>
      <c r="J444" s="6">
        <v>3</v>
      </c>
      <c r="K444" s="8">
        <f t="shared" si="13"/>
        <v>271637.69999999995</v>
      </c>
      <c r="L444" s="6" t="s">
        <v>32</v>
      </c>
    </row>
    <row r="445" spans="1:12" x14ac:dyDescent="0.3">
      <c r="A445" s="6" t="s">
        <v>494</v>
      </c>
      <c r="B445" s="6" t="s">
        <v>38</v>
      </c>
      <c r="C445" s="6" t="s">
        <v>96</v>
      </c>
      <c r="D445" s="6">
        <v>2019</v>
      </c>
      <c r="E445" s="6" t="s">
        <v>31</v>
      </c>
      <c r="F445" s="6" t="s">
        <v>13</v>
      </c>
      <c r="G445" s="6" t="s">
        <v>14</v>
      </c>
      <c r="H445" s="7">
        <v>15040.82</v>
      </c>
      <c r="I445" s="7" t="str">
        <f t="shared" si="12"/>
        <v>80k-90k</v>
      </c>
      <c r="J445" s="6">
        <v>6</v>
      </c>
      <c r="K445" s="8">
        <f t="shared" si="13"/>
        <v>90244.92</v>
      </c>
      <c r="L445" s="6" t="s">
        <v>15</v>
      </c>
    </row>
    <row r="446" spans="1:12" x14ac:dyDescent="0.3">
      <c r="A446" s="6" t="s">
        <v>495</v>
      </c>
      <c r="B446" s="6" t="s">
        <v>26</v>
      </c>
      <c r="C446" s="6" t="s">
        <v>34</v>
      </c>
      <c r="D446" s="6">
        <v>2015</v>
      </c>
      <c r="E446" s="6" t="s">
        <v>48</v>
      </c>
      <c r="F446" s="6" t="s">
        <v>19</v>
      </c>
      <c r="G446" s="6" t="s">
        <v>14</v>
      </c>
      <c r="H446" s="7">
        <v>52122.52</v>
      </c>
      <c r="I446" s="7" t="str">
        <f t="shared" si="12"/>
        <v>80k-90k</v>
      </c>
      <c r="J446" s="6">
        <v>19</v>
      </c>
      <c r="K446" s="8">
        <f t="shared" si="13"/>
        <v>990327.87999999989</v>
      </c>
      <c r="L446" s="6" t="s">
        <v>15</v>
      </c>
    </row>
    <row r="447" spans="1:12" x14ac:dyDescent="0.3">
      <c r="A447" s="6" t="s">
        <v>496</v>
      </c>
      <c r="B447" s="6" t="s">
        <v>38</v>
      </c>
      <c r="C447" s="6" t="s">
        <v>39</v>
      </c>
      <c r="D447" s="6">
        <v>2022</v>
      </c>
      <c r="E447" s="6" t="s">
        <v>31</v>
      </c>
      <c r="F447" s="6" t="s">
        <v>19</v>
      </c>
      <c r="G447" s="6" t="s">
        <v>14</v>
      </c>
      <c r="H447" s="7">
        <v>67001.440000000002</v>
      </c>
      <c r="I447" s="7" t="str">
        <f t="shared" si="12"/>
        <v>80k-90k</v>
      </c>
      <c r="J447" s="6">
        <v>7</v>
      </c>
      <c r="K447" s="8">
        <f t="shared" si="13"/>
        <v>469010.08</v>
      </c>
      <c r="L447" s="6" t="s">
        <v>36</v>
      </c>
    </row>
    <row r="448" spans="1:12" x14ac:dyDescent="0.3">
      <c r="A448" s="6" t="s">
        <v>497</v>
      </c>
      <c r="B448" s="6" t="s">
        <v>38</v>
      </c>
      <c r="C448" s="6" t="s">
        <v>39</v>
      </c>
      <c r="D448" s="6">
        <v>2019</v>
      </c>
      <c r="E448" s="6" t="s">
        <v>12</v>
      </c>
      <c r="F448" s="6" t="s">
        <v>19</v>
      </c>
      <c r="G448" s="6" t="s">
        <v>14</v>
      </c>
      <c r="H448" s="7">
        <v>96503.38</v>
      </c>
      <c r="I448" s="7" t="str">
        <f t="shared" si="12"/>
        <v>90k-1L</v>
      </c>
      <c r="J448" s="6">
        <v>11</v>
      </c>
      <c r="K448" s="8">
        <f t="shared" si="13"/>
        <v>1061537.1800000002</v>
      </c>
      <c r="L448" s="6" t="s">
        <v>32</v>
      </c>
    </row>
    <row r="449" spans="1:12" x14ac:dyDescent="0.3">
      <c r="A449" s="6" t="s">
        <v>498</v>
      </c>
      <c r="B449" s="6" t="s">
        <v>26</v>
      </c>
      <c r="C449" s="6" t="s">
        <v>74</v>
      </c>
      <c r="D449" s="6">
        <v>2017</v>
      </c>
      <c r="E449" s="6" t="s">
        <v>31</v>
      </c>
      <c r="F449" s="6" t="s">
        <v>28</v>
      </c>
      <c r="G449" s="6" t="s">
        <v>14</v>
      </c>
      <c r="H449" s="7">
        <v>96124.81</v>
      </c>
      <c r="I449" s="7" t="str">
        <f t="shared" si="12"/>
        <v>90k-1L</v>
      </c>
      <c r="J449" s="6">
        <v>13</v>
      </c>
      <c r="K449" s="8">
        <f t="shared" si="13"/>
        <v>1249622.53</v>
      </c>
      <c r="L449" s="6" t="s">
        <v>32</v>
      </c>
    </row>
    <row r="450" spans="1:12" x14ac:dyDescent="0.3">
      <c r="A450" s="6" t="s">
        <v>499</v>
      </c>
      <c r="B450" s="6" t="s">
        <v>10</v>
      </c>
      <c r="C450" s="6" t="s">
        <v>30</v>
      </c>
      <c r="D450" s="6">
        <v>2021</v>
      </c>
      <c r="E450" s="6" t="s">
        <v>31</v>
      </c>
      <c r="F450" s="6" t="s">
        <v>13</v>
      </c>
      <c r="G450" s="6" t="s">
        <v>14</v>
      </c>
      <c r="H450" s="7">
        <v>81740.740000000005</v>
      </c>
      <c r="I450" s="7" t="str">
        <f t="shared" ref="I450:I502" si="14">IF(H450&lt;90000,"80k-90k",IF(H450&lt;100000,"90k-1L","1L+"))</f>
        <v>80k-90k</v>
      </c>
      <c r="J450" s="6">
        <v>6</v>
      </c>
      <c r="K450" s="8">
        <f t="shared" ref="K450:K502" si="15">PRODUCT(H450*J450)</f>
        <v>490444.44000000006</v>
      </c>
      <c r="L450" s="6" t="s">
        <v>36</v>
      </c>
    </row>
    <row r="451" spans="1:12" x14ac:dyDescent="0.3">
      <c r="A451" s="6" t="s">
        <v>500</v>
      </c>
      <c r="B451" s="6" t="s">
        <v>70</v>
      </c>
      <c r="C451" s="6" t="s">
        <v>80</v>
      </c>
      <c r="D451" s="6">
        <v>2019</v>
      </c>
      <c r="E451" s="6" t="s">
        <v>24</v>
      </c>
      <c r="F451" s="6" t="s">
        <v>28</v>
      </c>
      <c r="G451" s="6" t="s">
        <v>14</v>
      </c>
      <c r="H451" s="7">
        <v>42928.74</v>
      </c>
      <c r="I451" s="7" t="str">
        <f t="shared" si="14"/>
        <v>80k-90k</v>
      </c>
      <c r="J451" s="6">
        <v>10</v>
      </c>
      <c r="K451" s="8">
        <f t="shared" si="15"/>
        <v>429287.39999999997</v>
      </c>
      <c r="L451" s="6" t="s">
        <v>15</v>
      </c>
    </row>
    <row r="452" spans="1:12" x14ac:dyDescent="0.3">
      <c r="A452" s="6" t="s">
        <v>501</v>
      </c>
      <c r="B452" s="6" t="s">
        <v>26</v>
      </c>
      <c r="C452" s="6" t="s">
        <v>74</v>
      </c>
      <c r="D452" s="6">
        <v>2023</v>
      </c>
      <c r="E452" s="6" t="s">
        <v>55</v>
      </c>
      <c r="F452" s="6" t="s">
        <v>13</v>
      </c>
      <c r="G452" s="6" t="s">
        <v>14</v>
      </c>
      <c r="H452" s="7">
        <v>95414.91</v>
      </c>
      <c r="I452" s="7" t="str">
        <f t="shared" si="14"/>
        <v>90k-1L</v>
      </c>
      <c r="J452" s="6">
        <v>2</v>
      </c>
      <c r="K452" s="8">
        <f t="shared" si="15"/>
        <v>190829.82</v>
      </c>
      <c r="L452" s="6" t="s">
        <v>15</v>
      </c>
    </row>
    <row r="453" spans="1:12" x14ac:dyDescent="0.3">
      <c r="A453" s="6" t="s">
        <v>502</v>
      </c>
      <c r="B453" s="6" t="s">
        <v>10</v>
      </c>
      <c r="C453" s="6" t="s">
        <v>110</v>
      </c>
      <c r="D453" s="6">
        <v>2020</v>
      </c>
      <c r="E453" s="6" t="s">
        <v>55</v>
      </c>
      <c r="F453" s="6" t="s">
        <v>19</v>
      </c>
      <c r="G453" s="6" t="s">
        <v>20</v>
      </c>
      <c r="H453" s="7">
        <v>71681.320000000007</v>
      </c>
      <c r="I453" s="7" t="str">
        <f t="shared" si="14"/>
        <v>80k-90k</v>
      </c>
      <c r="J453" s="6">
        <v>5</v>
      </c>
      <c r="K453" s="8">
        <f t="shared" si="15"/>
        <v>358406.60000000003</v>
      </c>
      <c r="L453" s="6" t="s">
        <v>32</v>
      </c>
    </row>
    <row r="454" spans="1:12" x14ac:dyDescent="0.3">
      <c r="A454" s="6" t="s">
        <v>503</v>
      </c>
      <c r="B454" s="6" t="s">
        <v>43</v>
      </c>
      <c r="C454" s="6" t="s">
        <v>93</v>
      </c>
      <c r="D454" s="6">
        <v>2021</v>
      </c>
      <c r="E454" s="6" t="s">
        <v>48</v>
      </c>
      <c r="F454" s="6" t="s">
        <v>19</v>
      </c>
      <c r="G454" s="6" t="s">
        <v>20</v>
      </c>
      <c r="H454" s="7">
        <v>96580.7</v>
      </c>
      <c r="I454" s="7" t="str">
        <f t="shared" si="14"/>
        <v>90k-1L</v>
      </c>
      <c r="J454" s="6">
        <v>11</v>
      </c>
      <c r="K454" s="8">
        <f t="shared" si="15"/>
        <v>1062387.7</v>
      </c>
      <c r="L454" s="6" t="s">
        <v>15</v>
      </c>
    </row>
    <row r="455" spans="1:12" x14ac:dyDescent="0.3">
      <c r="A455" s="6" t="s">
        <v>504</v>
      </c>
      <c r="B455" s="6" t="s">
        <v>17</v>
      </c>
      <c r="C455" s="6" t="s">
        <v>62</v>
      </c>
      <c r="D455" s="6">
        <v>2024</v>
      </c>
      <c r="E455" s="6" t="s">
        <v>55</v>
      </c>
      <c r="F455" s="6" t="s">
        <v>35</v>
      </c>
      <c r="G455" s="6" t="s">
        <v>14</v>
      </c>
      <c r="H455" s="7">
        <v>39915.71</v>
      </c>
      <c r="I455" s="7" t="str">
        <f t="shared" si="14"/>
        <v>80k-90k</v>
      </c>
      <c r="J455" s="6">
        <v>15</v>
      </c>
      <c r="K455" s="8">
        <f t="shared" si="15"/>
        <v>598735.65</v>
      </c>
      <c r="L455" s="6" t="s">
        <v>32</v>
      </c>
    </row>
    <row r="456" spans="1:12" x14ac:dyDescent="0.3">
      <c r="A456" s="6" t="s">
        <v>505</v>
      </c>
      <c r="B456" s="6" t="s">
        <v>17</v>
      </c>
      <c r="C456" s="6" t="s">
        <v>18</v>
      </c>
      <c r="D456" s="6">
        <v>2016</v>
      </c>
      <c r="E456" s="6" t="s">
        <v>55</v>
      </c>
      <c r="F456" s="6" t="s">
        <v>13</v>
      </c>
      <c r="G456" s="6" t="s">
        <v>20</v>
      </c>
      <c r="H456" s="7">
        <v>56316.6</v>
      </c>
      <c r="I456" s="7" t="str">
        <f t="shared" si="14"/>
        <v>80k-90k</v>
      </c>
      <c r="J456" s="6">
        <v>3</v>
      </c>
      <c r="K456" s="8">
        <f t="shared" si="15"/>
        <v>168949.8</v>
      </c>
      <c r="L456" s="6" t="s">
        <v>32</v>
      </c>
    </row>
    <row r="457" spans="1:12" x14ac:dyDescent="0.3">
      <c r="A457" s="6" t="s">
        <v>506</v>
      </c>
      <c r="B457" s="6" t="s">
        <v>22</v>
      </c>
      <c r="C457" s="6" t="s">
        <v>23</v>
      </c>
      <c r="D457" s="6">
        <v>2023</v>
      </c>
      <c r="E457" s="6" t="s">
        <v>40</v>
      </c>
      <c r="F457" s="6" t="s">
        <v>28</v>
      </c>
      <c r="G457" s="6" t="s">
        <v>20</v>
      </c>
      <c r="H457" s="7">
        <v>94666.38</v>
      </c>
      <c r="I457" s="7" t="str">
        <f t="shared" si="14"/>
        <v>90k-1L</v>
      </c>
      <c r="J457" s="6">
        <v>0</v>
      </c>
      <c r="K457" s="8">
        <f t="shared" si="15"/>
        <v>0</v>
      </c>
      <c r="L457" s="6" t="s">
        <v>36</v>
      </c>
    </row>
    <row r="458" spans="1:12" x14ac:dyDescent="0.3">
      <c r="A458" s="6" t="s">
        <v>507</v>
      </c>
      <c r="B458" s="6" t="s">
        <v>70</v>
      </c>
      <c r="C458" s="6" t="s">
        <v>71</v>
      </c>
      <c r="D458" s="6">
        <v>2016</v>
      </c>
      <c r="E458" s="6" t="s">
        <v>31</v>
      </c>
      <c r="F458" s="6" t="s">
        <v>13</v>
      </c>
      <c r="G458" s="6" t="s">
        <v>20</v>
      </c>
      <c r="H458" s="7">
        <v>18896.169999999998</v>
      </c>
      <c r="I458" s="7" t="str">
        <f t="shared" si="14"/>
        <v>80k-90k</v>
      </c>
      <c r="J458" s="6">
        <v>5</v>
      </c>
      <c r="K458" s="8">
        <f t="shared" si="15"/>
        <v>94480.849999999991</v>
      </c>
      <c r="L458" s="6" t="s">
        <v>15</v>
      </c>
    </row>
    <row r="459" spans="1:12" x14ac:dyDescent="0.3">
      <c r="A459" s="6" t="s">
        <v>508</v>
      </c>
      <c r="B459" s="6" t="s">
        <v>38</v>
      </c>
      <c r="C459" s="6" t="s">
        <v>65</v>
      </c>
      <c r="D459" s="6">
        <v>2018</v>
      </c>
      <c r="E459" s="6" t="s">
        <v>55</v>
      </c>
      <c r="F459" s="6" t="s">
        <v>35</v>
      </c>
      <c r="G459" s="6" t="s">
        <v>20</v>
      </c>
      <c r="H459" s="7">
        <v>89425.83</v>
      </c>
      <c r="I459" s="7" t="str">
        <f t="shared" si="14"/>
        <v>80k-90k</v>
      </c>
      <c r="J459" s="6">
        <v>8</v>
      </c>
      <c r="K459" s="8">
        <f t="shared" si="15"/>
        <v>715406.64</v>
      </c>
      <c r="L459" s="6" t="s">
        <v>15</v>
      </c>
    </row>
    <row r="460" spans="1:12" x14ac:dyDescent="0.3">
      <c r="A460" s="6" t="s">
        <v>509</v>
      </c>
      <c r="B460" s="6" t="s">
        <v>22</v>
      </c>
      <c r="C460" s="6" t="s">
        <v>105</v>
      </c>
      <c r="D460" s="6">
        <v>2022</v>
      </c>
      <c r="E460" s="6" t="s">
        <v>40</v>
      </c>
      <c r="F460" s="6" t="s">
        <v>28</v>
      </c>
      <c r="G460" s="6" t="s">
        <v>20</v>
      </c>
      <c r="H460" s="7">
        <v>21314.27</v>
      </c>
      <c r="I460" s="7" t="str">
        <f t="shared" si="14"/>
        <v>80k-90k</v>
      </c>
      <c r="J460" s="6">
        <v>4</v>
      </c>
      <c r="K460" s="8">
        <f t="shared" si="15"/>
        <v>85257.08</v>
      </c>
      <c r="L460" s="6" t="s">
        <v>36</v>
      </c>
    </row>
    <row r="461" spans="1:12" x14ac:dyDescent="0.3">
      <c r="A461" s="6" t="s">
        <v>510</v>
      </c>
      <c r="B461" s="6" t="s">
        <v>38</v>
      </c>
      <c r="C461" s="6" t="s">
        <v>39</v>
      </c>
      <c r="D461" s="6">
        <v>2015</v>
      </c>
      <c r="E461" s="6" t="s">
        <v>31</v>
      </c>
      <c r="F461" s="6" t="s">
        <v>35</v>
      </c>
      <c r="G461" s="6" t="s">
        <v>20</v>
      </c>
      <c r="H461" s="7">
        <v>86997.52</v>
      </c>
      <c r="I461" s="7" t="str">
        <f t="shared" si="14"/>
        <v>80k-90k</v>
      </c>
      <c r="J461" s="6">
        <v>18</v>
      </c>
      <c r="K461" s="8">
        <f t="shared" si="15"/>
        <v>1565955.36</v>
      </c>
      <c r="L461" s="6" t="s">
        <v>15</v>
      </c>
    </row>
    <row r="462" spans="1:12" x14ac:dyDescent="0.3">
      <c r="A462" s="6" t="s">
        <v>511</v>
      </c>
      <c r="B462" s="6" t="s">
        <v>70</v>
      </c>
      <c r="C462" s="6" t="s">
        <v>114</v>
      </c>
      <c r="D462" s="6">
        <v>2024</v>
      </c>
      <c r="E462" s="6" t="s">
        <v>40</v>
      </c>
      <c r="F462" s="6" t="s">
        <v>19</v>
      </c>
      <c r="G462" s="6" t="s">
        <v>14</v>
      </c>
      <c r="H462" s="7">
        <v>89695.19</v>
      </c>
      <c r="I462" s="7" t="str">
        <f t="shared" si="14"/>
        <v>80k-90k</v>
      </c>
      <c r="J462" s="6">
        <v>10</v>
      </c>
      <c r="K462" s="8">
        <f t="shared" si="15"/>
        <v>896951.9</v>
      </c>
      <c r="L462" s="6" t="s">
        <v>15</v>
      </c>
    </row>
    <row r="463" spans="1:12" x14ac:dyDescent="0.3">
      <c r="A463" s="6" t="s">
        <v>512</v>
      </c>
      <c r="B463" s="6" t="s">
        <v>38</v>
      </c>
      <c r="C463" s="6" t="s">
        <v>39</v>
      </c>
      <c r="D463" s="6">
        <v>2023</v>
      </c>
      <c r="E463" s="6" t="s">
        <v>40</v>
      </c>
      <c r="F463" s="6" t="s">
        <v>19</v>
      </c>
      <c r="G463" s="6" t="s">
        <v>20</v>
      </c>
      <c r="H463" s="7">
        <v>69815.820000000007</v>
      </c>
      <c r="I463" s="7" t="str">
        <f t="shared" si="14"/>
        <v>80k-90k</v>
      </c>
      <c r="J463" s="6">
        <v>9</v>
      </c>
      <c r="K463" s="8">
        <f t="shared" si="15"/>
        <v>628342.38000000012</v>
      </c>
      <c r="L463" s="6" t="s">
        <v>36</v>
      </c>
    </row>
    <row r="464" spans="1:12" x14ac:dyDescent="0.3">
      <c r="A464" s="6" t="s">
        <v>513</v>
      </c>
      <c r="B464" s="6" t="s">
        <v>70</v>
      </c>
      <c r="C464" s="6" t="s">
        <v>80</v>
      </c>
      <c r="D464" s="6">
        <v>2020</v>
      </c>
      <c r="E464" s="6" t="s">
        <v>40</v>
      </c>
      <c r="F464" s="6" t="s">
        <v>35</v>
      </c>
      <c r="G464" s="6" t="s">
        <v>20</v>
      </c>
      <c r="H464" s="7">
        <v>70305.320000000007</v>
      </c>
      <c r="I464" s="7" t="str">
        <f t="shared" si="14"/>
        <v>80k-90k</v>
      </c>
      <c r="J464" s="6">
        <v>15</v>
      </c>
      <c r="K464" s="8">
        <f t="shared" si="15"/>
        <v>1054579.8</v>
      </c>
      <c r="L464" s="6" t="s">
        <v>15</v>
      </c>
    </row>
    <row r="465" spans="1:12" x14ac:dyDescent="0.3">
      <c r="A465" s="6" t="s">
        <v>514</v>
      </c>
      <c r="B465" s="6" t="s">
        <v>43</v>
      </c>
      <c r="C465" s="6" t="s">
        <v>44</v>
      </c>
      <c r="D465" s="6">
        <v>2025</v>
      </c>
      <c r="E465" s="6" t="s">
        <v>55</v>
      </c>
      <c r="F465" s="6" t="s">
        <v>13</v>
      </c>
      <c r="G465" s="6" t="s">
        <v>20</v>
      </c>
      <c r="H465" s="7">
        <v>97547.49</v>
      </c>
      <c r="I465" s="7" t="str">
        <f t="shared" si="14"/>
        <v>90k-1L</v>
      </c>
      <c r="J465" s="6">
        <v>9</v>
      </c>
      <c r="K465" s="8">
        <f t="shared" si="15"/>
        <v>877927.41</v>
      </c>
      <c r="L465" s="6" t="s">
        <v>32</v>
      </c>
    </row>
    <row r="466" spans="1:12" x14ac:dyDescent="0.3">
      <c r="A466" s="6" t="s">
        <v>515</v>
      </c>
      <c r="B466" s="6" t="s">
        <v>26</v>
      </c>
      <c r="C466" s="6" t="s">
        <v>34</v>
      </c>
      <c r="D466" s="6">
        <v>2023</v>
      </c>
      <c r="E466" s="6" t="s">
        <v>31</v>
      </c>
      <c r="F466" s="6" t="s">
        <v>28</v>
      </c>
      <c r="G466" s="6" t="s">
        <v>20</v>
      </c>
      <c r="H466" s="7">
        <v>71865.37</v>
      </c>
      <c r="I466" s="7" t="str">
        <f t="shared" si="14"/>
        <v>80k-90k</v>
      </c>
      <c r="J466" s="6">
        <v>0</v>
      </c>
      <c r="K466" s="8">
        <f t="shared" si="15"/>
        <v>0</v>
      </c>
      <c r="L466" s="6" t="s">
        <v>36</v>
      </c>
    </row>
    <row r="467" spans="1:12" x14ac:dyDescent="0.3">
      <c r="A467" s="6" t="s">
        <v>516</v>
      </c>
      <c r="B467" s="6" t="s">
        <v>43</v>
      </c>
      <c r="C467" s="6" t="s">
        <v>93</v>
      </c>
      <c r="D467" s="6">
        <v>2020</v>
      </c>
      <c r="E467" s="6" t="s">
        <v>12</v>
      </c>
      <c r="F467" s="6" t="s">
        <v>19</v>
      </c>
      <c r="G467" s="6" t="s">
        <v>20</v>
      </c>
      <c r="H467" s="7">
        <v>97325.62</v>
      </c>
      <c r="I467" s="7" t="str">
        <f t="shared" si="14"/>
        <v>90k-1L</v>
      </c>
      <c r="J467" s="6">
        <v>5</v>
      </c>
      <c r="K467" s="8">
        <f t="shared" si="15"/>
        <v>486628.1</v>
      </c>
      <c r="L467" s="6" t="s">
        <v>32</v>
      </c>
    </row>
    <row r="468" spans="1:12" x14ac:dyDescent="0.3">
      <c r="A468" s="6" t="s">
        <v>517</v>
      </c>
      <c r="B468" s="6" t="s">
        <v>38</v>
      </c>
      <c r="C468" s="6" t="s">
        <v>65</v>
      </c>
      <c r="D468" s="6">
        <v>2015</v>
      </c>
      <c r="E468" s="6" t="s">
        <v>31</v>
      </c>
      <c r="F468" s="6" t="s">
        <v>13</v>
      </c>
      <c r="G468" s="6" t="s">
        <v>20</v>
      </c>
      <c r="H468" s="7">
        <v>31162.29</v>
      </c>
      <c r="I468" s="7" t="str">
        <f t="shared" si="14"/>
        <v>80k-90k</v>
      </c>
      <c r="J468" s="6">
        <v>5</v>
      </c>
      <c r="K468" s="8">
        <f t="shared" si="15"/>
        <v>155811.45000000001</v>
      </c>
      <c r="L468" s="6" t="s">
        <v>32</v>
      </c>
    </row>
    <row r="469" spans="1:12" x14ac:dyDescent="0.3">
      <c r="A469" s="6" t="s">
        <v>518</v>
      </c>
      <c r="B469" s="6" t="s">
        <v>22</v>
      </c>
      <c r="C469" s="6" t="s">
        <v>23</v>
      </c>
      <c r="D469" s="6">
        <v>2016</v>
      </c>
      <c r="E469" s="6" t="s">
        <v>12</v>
      </c>
      <c r="F469" s="6" t="s">
        <v>13</v>
      </c>
      <c r="G469" s="6" t="s">
        <v>14</v>
      </c>
      <c r="H469" s="7">
        <v>67754.28</v>
      </c>
      <c r="I469" s="7" t="str">
        <f t="shared" si="14"/>
        <v>80k-90k</v>
      </c>
      <c r="J469" s="6">
        <v>5</v>
      </c>
      <c r="K469" s="8">
        <f t="shared" si="15"/>
        <v>338771.4</v>
      </c>
      <c r="L469" s="6" t="s">
        <v>15</v>
      </c>
    </row>
    <row r="470" spans="1:12" x14ac:dyDescent="0.3">
      <c r="A470" s="6" t="s">
        <v>519</v>
      </c>
      <c r="B470" s="6" t="s">
        <v>43</v>
      </c>
      <c r="C470" s="6" t="s">
        <v>91</v>
      </c>
      <c r="D470" s="6">
        <v>2024</v>
      </c>
      <c r="E470" s="6" t="s">
        <v>24</v>
      </c>
      <c r="F470" s="6" t="s">
        <v>19</v>
      </c>
      <c r="G470" s="6" t="s">
        <v>14</v>
      </c>
      <c r="H470" s="7">
        <v>22864.84</v>
      </c>
      <c r="I470" s="7" t="str">
        <f t="shared" si="14"/>
        <v>80k-90k</v>
      </c>
      <c r="J470" s="6">
        <v>3</v>
      </c>
      <c r="K470" s="8">
        <f t="shared" si="15"/>
        <v>68594.52</v>
      </c>
      <c r="L470" s="6" t="s">
        <v>15</v>
      </c>
    </row>
    <row r="471" spans="1:12" x14ac:dyDescent="0.3">
      <c r="A471" s="6" t="s">
        <v>520</v>
      </c>
      <c r="B471" s="6" t="s">
        <v>70</v>
      </c>
      <c r="C471" s="6" t="s">
        <v>114</v>
      </c>
      <c r="D471" s="6">
        <v>2021</v>
      </c>
      <c r="E471" s="6" t="s">
        <v>12</v>
      </c>
      <c r="F471" s="6" t="s">
        <v>35</v>
      </c>
      <c r="G471" s="6" t="s">
        <v>20</v>
      </c>
      <c r="H471" s="7">
        <v>74126.210000000006</v>
      </c>
      <c r="I471" s="7" t="str">
        <f t="shared" si="14"/>
        <v>80k-90k</v>
      </c>
      <c r="J471" s="6">
        <v>4</v>
      </c>
      <c r="K471" s="8">
        <f t="shared" si="15"/>
        <v>296504.84000000003</v>
      </c>
      <c r="L471" s="6" t="s">
        <v>15</v>
      </c>
    </row>
    <row r="472" spans="1:12" x14ac:dyDescent="0.3">
      <c r="A472" s="6" t="s">
        <v>521</v>
      </c>
      <c r="B472" s="6" t="s">
        <v>38</v>
      </c>
      <c r="C472" s="6" t="s">
        <v>65</v>
      </c>
      <c r="D472" s="6">
        <v>2018</v>
      </c>
      <c r="E472" s="6" t="s">
        <v>12</v>
      </c>
      <c r="F472" s="6" t="s">
        <v>35</v>
      </c>
      <c r="G472" s="6" t="s">
        <v>20</v>
      </c>
      <c r="H472" s="7">
        <v>57972.89</v>
      </c>
      <c r="I472" s="7" t="str">
        <f t="shared" si="14"/>
        <v>80k-90k</v>
      </c>
      <c r="J472" s="6">
        <v>15</v>
      </c>
      <c r="K472" s="8">
        <f t="shared" si="15"/>
        <v>869593.35</v>
      </c>
      <c r="L472" s="6" t="s">
        <v>15</v>
      </c>
    </row>
    <row r="473" spans="1:12" x14ac:dyDescent="0.3">
      <c r="A473" s="6" t="s">
        <v>522</v>
      </c>
      <c r="B473" s="6" t="s">
        <v>10</v>
      </c>
      <c r="C473" s="6" t="s">
        <v>30</v>
      </c>
      <c r="D473" s="6">
        <v>2016</v>
      </c>
      <c r="E473" s="6" t="s">
        <v>48</v>
      </c>
      <c r="F473" s="6" t="s">
        <v>28</v>
      </c>
      <c r="G473" s="6" t="s">
        <v>14</v>
      </c>
      <c r="H473" s="7">
        <v>65330.42</v>
      </c>
      <c r="I473" s="7" t="str">
        <f t="shared" si="14"/>
        <v>80k-90k</v>
      </c>
      <c r="J473" s="6">
        <v>14</v>
      </c>
      <c r="K473" s="8">
        <f t="shared" si="15"/>
        <v>914625.88</v>
      </c>
      <c r="L473" s="6" t="s">
        <v>36</v>
      </c>
    </row>
    <row r="474" spans="1:12" x14ac:dyDescent="0.3">
      <c r="A474" s="6" t="s">
        <v>523</v>
      </c>
      <c r="B474" s="6" t="s">
        <v>26</v>
      </c>
      <c r="C474" s="6" t="s">
        <v>27</v>
      </c>
      <c r="D474" s="6">
        <v>2024</v>
      </c>
      <c r="E474" s="6" t="s">
        <v>40</v>
      </c>
      <c r="F474" s="6" t="s">
        <v>13</v>
      </c>
      <c r="G474" s="6" t="s">
        <v>20</v>
      </c>
      <c r="H474" s="7">
        <v>57968.41</v>
      </c>
      <c r="I474" s="7" t="str">
        <f t="shared" si="14"/>
        <v>80k-90k</v>
      </c>
      <c r="J474" s="6">
        <v>16</v>
      </c>
      <c r="K474" s="8">
        <f t="shared" si="15"/>
        <v>927494.56</v>
      </c>
      <c r="L474" s="6" t="s">
        <v>15</v>
      </c>
    </row>
    <row r="475" spans="1:12" x14ac:dyDescent="0.3">
      <c r="A475" s="6" t="s">
        <v>524</v>
      </c>
      <c r="B475" s="6" t="s">
        <v>43</v>
      </c>
      <c r="C475" s="6" t="s">
        <v>91</v>
      </c>
      <c r="D475" s="6">
        <v>2018</v>
      </c>
      <c r="E475" s="6" t="s">
        <v>31</v>
      </c>
      <c r="F475" s="6" t="s">
        <v>28</v>
      </c>
      <c r="G475" s="6" t="s">
        <v>14</v>
      </c>
      <c r="H475" s="7">
        <v>77673.89</v>
      </c>
      <c r="I475" s="7" t="str">
        <f t="shared" si="14"/>
        <v>80k-90k</v>
      </c>
      <c r="J475" s="6">
        <v>5</v>
      </c>
      <c r="K475" s="8">
        <f t="shared" si="15"/>
        <v>388369.45</v>
      </c>
      <c r="L475" s="6" t="s">
        <v>36</v>
      </c>
    </row>
    <row r="476" spans="1:12" x14ac:dyDescent="0.3">
      <c r="A476" s="6" t="s">
        <v>525</v>
      </c>
      <c r="B476" s="6" t="s">
        <v>26</v>
      </c>
      <c r="C476" s="6" t="s">
        <v>34</v>
      </c>
      <c r="D476" s="6">
        <v>2021</v>
      </c>
      <c r="E476" s="6" t="s">
        <v>55</v>
      </c>
      <c r="F476" s="6" t="s">
        <v>28</v>
      </c>
      <c r="G476" s="6" t="s">
        <v>14</v>
      </c>
      <c r="H476" s="7">
        <v>96801.96</v>
      </c>
      <c r="I476" s="7" t="str">
        <f t="shared" si="14"/>
        <v>90k-1L</v>
      </c>
      <c r="J476" s="6">
        <v>17</v>
      </c>
      <c r="K476" s="8">
        <f t="shared" si="15"/>
        <v>1645633.32</v>
      </c>
      <c r="L476" s="6" t="s">
        <v>36</v>
      </c>
    </row>
    <row r="477" spans="1:12" x14ac:dyDescent="0.3">
      <c r="A477" s="6" t="s">
        <v>526</v>
      </c>
      <c r="B477" s="6" t="s">
        <v>38</v>
      </c>
      <c r="C477" s="6" t="s">
        <v>39</v>
      </c>
      <c r="D477" s="6">
        <v>2025</v>
      </c>
      <c r="E477" s="6" t="s">
        <v>40</v>
      </c>
      <c r="F477" s="6" t="s">
        <v>28</v>
      </c>
      <c r="G477" s="6" t="s">
        <v>20</v>
      </c>
      <c r="H477" s="7">
        <v>39426.35</v>
      </c>
      <c r="I477" s="7" t="str">
        <f t="shared" si="14"/>
        <v>80k-90k</v>
      </c>
      <c r="J477" s="6">
        <v>10</v>
      </c>
      <c r="K477" s="8">
        <f t="shared" si="15"/>
        <v>394263.5</v>
      </c>
      <c r="L477" s="6" t="s">
        <v>36</v>
      </c>
    </row>
    <row r="478" spans="1:12" x14ac:dyDescent="0.3">
      <c r="A478" s="6" t="s">
        <v>527</v>
      </c>
      <c r="B478" s="6" t="s">
        <v>10</v>
      </c>
      <c r="C478" s="6" t="s">
        <v>110</v>
      </c>
      <c r="D478" s="6">
        <v>2025</v>
      </c>
      <c r="E478" s="6" t="s">
        <v>24</v>
      </c>
      <c r="F478" s="6" t="s">
        <v>28</v>
      </c>
      <c r="G478" s="6" t="s">
        <v>14</v>
      </c>
      <c r="H478" s="7">
        <v>98034.8</v>
      </c>
      <c r="I478" s="7" t="str">
        <f t="shared" si="14"/>
        <v>90k-1L</v>
      </c>
      <c r="J478" s="6">
        <v>9</v>
      </c>
      <c r="K478" s="8">
        <f t="shared" si="15"/>
        <v>882313.20000000007</v>
      </c>
      <c r="L478" s="6" t="s">
        <v>15</v>
      </c>
    </row>
    <row r="479" spans="1:12" x14ac:dyDescent="0.3">
      <c r="A479" s="6" t="s">
        <v>528</v>
      </c>
      <c r="B479" s="6" t="s">
        <v>22</v>
      </c>
      <c r="C479" s="6" t="s">
        <v>105</v>
      </c>
      <c r="D479" s="6">
        <v>2016</v>
      </c>
      <c r="E479" s="6" t="s">
        <v>40</v>
      </c>
      <c r="F479" s="6" t="s">
        <v>19</v>
      </c>
      <c r="G479" s="6" t="s">
        <v>14</v>
      </c>
      <c r="H479" s="7">
        <v>63023.81</v>
      </c>
      <c r="I479" s="7" t="str">
        <f t="shared" si="14"/>
        <v>80k-90k</v>
      </c>
      <c r="J479" s="6">
        <v>17</v>
      </c>
      <c r="K479" s="8">
        <f t="shared" si="15"/>
        <v>1071404.77</v>
      </c>
      <c r="L479" s="6" t="s">
        <v>36</v>
      </c>
    </row>
    <row r="480" spans="1:12" x14ac:dyDescent="0.3">
      <c r="A480" s="6" t="s">
        <v>529</v>
      </c>
      <c r="B480" s="6" t="s">
        <v>38</v>
      </c>
      <c r="C480" s="6" t="s">
        <v>96</v>
      </c>
      <c r="D480" s="6">
        <v>2019</v>
      </c>
      <c r="E480" s="6" t="s">
        <v>24</v>
      </c>
      <c r="F480" s="6" t="s">
        <v>19</v>
      </c>
      <c r="G480" s="6" t="s">
        <v>20</v>
      </c>
      <c r="H480" s="7">
        <v>39151.25</v>
      </c>
      <c r="I480" s="7" t="str">
        <f t="shared" si="14"/>
        <v>80k-90k</v>
      </c>
      <c r="J480" s="6">
        <v>13</v>
      </c>
      <c r="K480" s="8">
        <f t="shared" si="15"/>
        <v>508966.25</v>
      </c>
      <c r="L480" s="6" t="s">
        <v>32</v>
      </c>
    </row>
    <row r="481" spans="1:12" x14ac:dyDescent="0.3">
      <c r="A481" s="6" t="s">
        <v>530</v>
      </c>
      <c r="B481" s="6" t="s">
        <v>17</v>
      </c>
      <c r="C481" s="6" t="s">
        <v>62</v>
      </c>
      <c r="D481" s="6">
        <v>2019</v>
      </c>
      <c r="E481" s="6" t="s">
        <v>24</v>
      </c>
      <c r="F481" s="6" t="s">
        <v>19</v>
      </c>
      <c r="G481" s="6" t="s">
        <v>14</v>
      </c>
      <c r="H481" s="7">
        <v>95030.16</v>
      </c>
      <c r="I481" s="7" t="str">
        <f t="shared" si="14"/>
        <v>90k-1L</v>
      </c>
      <c r="J481" s="6">
        <v>3</v>
      </c>
      <c r="K481" s="8">
        <f t="shared" si="15"/>
        <v>285090.48</v>
      </c>
      <c r="L481" s="6" t="s">
        <v>15</v>
      </c>
    </row>
    <row r="482" spans="1:12" x14ac:dyDescent="0.3">
      <c r="A482" s="6" t="s">
        <v>531</v>
      </c>
      <c r="B482" s="6" t="s">
        <v>10</v>
      </c>
      <c r="C482" s="6" t="s">
        <v>11</v>
      </c>
      <c r="D482" s="6">
        <v>2020</v>
      </c>
      <c r="E482" s="6" t="s">
        <v>24</v>
      </c>
      <c r="F482" s="6" t="s">
        <v>13</v>
      </c>
      <c r="G482" s="6" t="s">
        <v>14</v>
      </c>
      <c r="H482" s="7">
        <v>69164.800000000003</v>
      </c>
      <c r="I482" s="7" t="str">
        <f t="shared" si="14"/>
        <v>80k-90k</v>
      </c>
      <c r="J482" s="6">
        <v>7</v>
      </c>
      <c r="K482" s="8">
        <f t="shared" si="15"/>
        <v>484153.60000000003</v>
      </c>
      <c r="L482" s="6" t="s">
        <v>15</v>
      </c>
    </row>
    <row r="483" spans="1:12" x14ac:dyDescent="0.3">
      <c r="A483" s="6" t="s">
        <v>532</v>
      </c>
      <c r="B483" s="6" t="s">
        <v>38</v>
      </c>
      <c r="C483" s="6" t="s">
        <v>65</v>
      </c>
      <c r="D483" s="6">
        <v>2023</v>
      </c>
      <c r="E483" s="6" t="s">
        <v>40</v>
      </c>
      <c r="F483" s="6" t="s">
        <v>28</v>
      </c>
      <c r="G483" s="6" t="s">
        <v>20</v>
      </c>
      <c r="H483" s="7">
        <v>53295.040000000001</v>
      </c>
      <c r="I483" s="7" t="str">
        <f t="shared" si="14"/>
        <v>80k-90k</v>
      </c>
      <c r="J483" s="6">
        <v>12</v>
      </c>
      <c r="K483" s="8">
        <f t="shared" si="15"/>
        <v>639540.47999999998</v>
      </c>
      <c r="L483" s="6" t="s">
        <v>15</v>
      </c>
    </row>
    <row r="484" spans="1:12" x14ac:dyDescent="0.3">
      <c r="A484" s="6" t="s">
        <v>533</v>
      </c>
      <c r="B484" s="6" t="s">
        <v>10</v>
      </c>
      <c r="C484" s="6" t="s">
        <v>11</v>
      </c>
      <c r="D484" s="6">
        <v>2018</v>
      </c>
      <c r="E484" s="6" t="s">
        <v>55</v>
      </c>
      <c r="F484" s="6" t="s">
        <v>28</v>
      </c>
      <c r="G484" s="6" t="s">
        <v>20</v>
      </c>
      <c r="H484" s="7">
        <v>47304.02</v>
      </c>
      <c r="I484" s="7" t="str">
        <f t="shared" si="14"/>
        <v>80k-90k</v>
      </c>
      <c r="J484" s="6">
        <v>3</v>
      </c>
      <c r="K484" s="8">
        <f t="shared" si="15"/>
        <v>141912.06</v>
      </c>
      <c r="L484" s="6" t="s">
        <v>32</v>
      </c>
    </row>
    <row r="485" spans="1:12" x14ac:dyDescent="0.3">
      <c r="A485" s="6" t="s">
        <v>534</v>
      </c>
      <c r="B485" s="6" t="s">
        <v>70</v>
      </c>
      <c r="C485" s="6" t="s">
        <v>114</v>
      </c>
      <c r="D485" s="6">
        <v>2020</v>
      </c>
      <c r="E485" s="6" t="s">
        <v>24</v>
      </c>
      <c r="F485" s="6" t="s">
        <v>19</v>
      </c>
      <c r="G485" s="6" t="s">
        <v>20</v>
      </c>
      <c r="H485" s="7">
        <v>57978.6</v>
      </c>
      <c r="I485" s="7" t="str">
        <f t="shared" si="14"/>
        <v>80k-90k</v>
      </c>
      <c r="J485" s="6">
        <v>2</v>
      </c>
      <c r="K485" s="8">
        <f t="shared" si="15"/>
        <v>115957.2</v>
      </c>
      <c r="L485" s="6" t="s">
        <v>15</v>
      </c>
    </row>
    <row r="486" spans="1:12" x14ac:dyDescent="0.3">
      <c r="A486" s="6" t="s">
        <v>535</v>
      </c>
      <c r="B486" s="6" t="s">
        <v>10</v>
      </c>
      <c r="C486" s="6" t="s">
        <v>11</v>
      </c>
      <c r="D486" s="6">
        <v>2018</v>
      </c>
      <c r="E486" s="6" t="s">
        <v>40</v>
      </c>
      <c r="F486" s="6" t="s">
        <v>13</v>
      </c>
      <c r="G486" s="6" t="s">
        <v>14</v>
      </c>
      <c r="H486" s="7">
        <v>35701.449999999997</v>
      </c>
      <c r="I486" s="7" t="str">
        <f t="shared" si="14"/>
        <v>80k-90k</v>
      </c>
      <c r="J486" s="6">
        <v>10</v>
      </c>
      <c r="K486" s="8">
        <f t="shared" si="15"/>
        <v>357014.5</v>
      </c>
      <c r="L486" s="6" t="s">
        <v>32</v>
      </c>
    </row>
    <row r="487" spans="1:12" x14ac:dyDescent="0.3">
      <c r="A487" s="6" t="s">
        <v>536</v>
      </c>
      <c r="B487" s="6" t="s">
        <v>17</v>
      </c>
      <c r="C487" s="6" t="s">
        <v>62</v>
      </c>
      <c r="D487" s="6">
        <v>2022</v>
      </c>
      <c r="E487" s="6" t="s">
        <v>40</v>
      </c>
      <c r="F487" s="6" t="s">
        <v>13</v>
      </c>
      <c r="G487" s="6" t="s">
        <v>20</v>
      </c>
      <c r="H487" s="7">
        <v>95460.71</v>
      </c>
      <c r="I487" s="7" t="str">
        <f t="shared" si="14"/>
        <v>90k-1L</v>
      </c>
      <c r="J487" s="6">
        <v>8</v>
      </c>
      <c r="K487" s="8">
        <f t="shared" si="15"/>
        <v>763685.68</v>
      </c>
      <c r="L487" s="6" t="s">
        <v>36</v>
      </c>
    </row>
    <row r="488" spans="1:12" x14ac:dyDescent="0.3">
      <c r="A488" s="6" t="s">
        <v>537</v>
      </c>
      <c r="B488" s="6" t="s">
        <v>43</v>
      </c>
      <c r="C488" s="6" t="s">
        <v>44</v>
      </c>
      <c r="D488" s="6">
        <v>2023</v>
      </c>
      <c r="E488" s="6" t="s">
        <v>48</v>
      </c>
      <c r="F488" s="6" t="s">
        <v>19</v>
      </c>
      <c r="G488" s="6" t="s">
        <v>20</v>
      </c>
      <c r="H488" s="7">
        <v>64128.73</v>
      </c>
      <c r="I488" s="7" t="str">
        <f t="shared" si="14"/>
        <v>80k-90k</v>
      </c>
      <c r="J488" s="6">
        <v>4</v>
      </c>
      <c r="K488" s="8">
        <f t="shared" si="15"/>
        <v>256514.92</v>
      </c>
      <c r="L488" s="6" t="s">
        <v>15</v>
      </c>
    </row>
    <row r="489" spans="1:12" x14ac:dyDescent="0.3">
      <c r="A489" s="6" t="s">
        <v>538</v>
      </c>
      <c r="B489" s="6" t="s">
        <v>17</v>
      </c>
      <c r="C489" s="6" t="s">
        <v>62</v>
      </c>
      <c r="D489" s="6">
        <v>2018</v>
      </c>
      <c r="E489" s="6" t="s">
        <v>31</v>
      </c>
      <c r="F489" s="6" t="s">
        <v>28</v>
      </c>
      <c r="G489" s="6" t="s">
        <v>20</v>
      </c>
      <c r="H489" s="7">
        <v>71823.77</v>
      </c>
      <c r="I489" s="7" t="str">
        <f t="shared" si="14"/>
        <v>80k-90k</v>
      </c>
      <c r="J489" s="6">
        <v>2</v>
      </c>
      <c r="K489" s="8">
        <f t="shared" si="15"/>
        <v>143647.54</v>
      </c>
      <c r="L489" s="6" t="s">
        <v>15</v>
      </c>
    </row>
    <row r="490" spans="1:12" x14ac:dyDescent="0.3">
      <c r="A490" s="6" t="s">
        <v>539</v>
      </c>
      <c r="B490" s="6" t="s">
        <v>17</v>
      </c>
      <c r="C490" s="6" t="s">
        <v>18</v>
      </c>
      <c r="D490" s="6">
        <v>2025</v>
      </c>
      <c r="E490" s="6" t="s">
        <v>31</v>
      </c>
      <c r="F490" s="6" t="s">
        <v>13</v>
      </c>
      <c r="G490" s="6" t="s">
        <v>14</v>
      </c>
      <c r="H490" s="7">
        <v>26437</v>
      </c>
      <c r="I490" s="7" t="str">
        <f t="shared" si="14"/>
        <v>80k-90k</v>
      </c>
      <c r="J490" s="6">
        <v>15</v>
      </c>
      <c r="K490" s="8">
        <f t="shared" si="15"/>
        <v>396555</v>
      </c>
      <c r="L490" s="6" t="s">
        <v>36</v>
      </c>
    </row>
    <row r="491" spans="1:12" x14ac:dyDescent="0.3">
      <c r="A491" s="6" t="s">
        <v>540</v>
      </c>
      <c r="B491" s="6" t="s">
        <v>38</v>
      </c>
      <c r="C491" s="6" t="s">
        <v>65</v>
      </c>
      <c r="D491" s="6">
        <v>2018</v>
      </c>
      <c r="E491" s="6" t="s">
        <v>31</v>
      </c>
      <c r="F491" s="6" t="s">
        <v>19</v>
      </c>
      <c r="G491" s="6" t="s">
        <v>14</v>
      </c>
      <c r="H491" s="7">
        <v>76993.42</v>
      </c>
      <c r="I491" s="7" t="str">
        <f t="shared" si="14"/>
        <v>80k-90k</v>
      </c>
      <c r="J491" s="6">
        <v>7</v>
      </c>
      <c r="K491" s="8">
        <f t="shared" si="15"/>
        <v>538953.93999999994</v>
      </c>
      <c r="L491" s="6" t="s">
        <v>32</v>
      </c>
    </row>
    <row r="492" spans="1:12" x14ac:dyDescent="0.3">
      <c r="A492" s="6" t="s">
        <v>541</v>
      </c>
      <c r="B492" s="6" t="s">
        <v>43</v>
      </c>
      <c r="C492" s="6" t="s">
        <v>91</v>
      </c>
      <c r="D492" s="6">
        <v>2016</v>
      </c>
      <c r="E492" s="6" t="s">
        <v>55</v>
      </c>
      <c r="F492" s="6" t="s">
        <v>28</v>
      </c>
      <c r="G492" s="6" t="s">
        <v>14</v>
      </c>
      <c r="H492" s="7">
        <v>53228.52</v>
      </c>
      <c r="I492" s="7" t="str">
        <f t="shared" si="14"/>
        <v>80k-90k</v>
      </c>
      <c r="J492" s="6">
        <v>15</v>
      </c>
      <c r="K492" s="8">
        <f t="shared" si="15"/>
        <v>798427.79999999993</v>
      </c>
      <c r="L492" s="6" t="s">
        <v>15</v>
      </c>
    </row>
    <row r="493" spans="1:12" x14ac:dyDescent="0.3">
      <c r="A493" s="6" t="s">
        <v>542</v>
      </c>
      <c r="B493" s="6" t="s">
        <v>70</v>
      </c>
      <c r="C493" s="6" t="s">
        <v>114</v>
      </c>
      <c r="D493" s="6">
        <v>2022</v>
      </c>
      <c r="E493" s="6" t="s">
        <v>12</v>
      </c>
      <c r="F493" s="6" t="s">
        <v>13</v>
      </c>
      <c r="G493" s="6" t="s">
        <v>14</v>
      </c>
      <c r="H493" s="7">
        <v>19841.22</v>
      </c>
      <c r="I493" s="7" t="str">
        <f t="shared" si="14"/>
        <v>80k-90k</v>
      </c>
      <c r="J493" s="6">
        <v>5</v>
      </c>
      <c r="K493" s="8">
        <f t="shared" si="15"/>
        <v>99206.1</v>
      </c>
      <c r="L493" s="6" t="s">
        <v>36</v>
      </c>
    </row>
    <row r="494" spans="1:12" x14ac:dyDescent="0.3">
      <c r="A494" s="6" t="s">
        <v>543</v>
      </c>
      <c r="B494" s="6" t="s">
        <v>17</v>
      </c>
      <c r="C494" s="6" t="s">
        <v>18</v>
      </c>
      <c r="D494" s="6">
        <v>2022</v>
      </c>
      <c r="E494" s="6" t="s">
        <v>24</v>
      </c>
      <c r="F494" s="6" t="s">
        <v>19</v>
      </c>
      <c r="G494" s="6" t="s">
        <v>20</v>
      </c>
      <c r="H494" s="7">
        <v>16340.85</v>
      </c>
      <c r="I494" s="7" t="str">
        <f t="shared" si="14"/>
        <v>80k-90k</v>
      </c>
      <c r="J494" s="6">
        <v>10</v>
      </c>
      <c r="K494" s="8">
        <f t="shared" si="15"/>
        <v>163408.5</v>
      </c>
      <c r="L494" s="6" t="s">
        <v>15</v>
      </c>
    </row>
    <row r="495" spans="1:12" x14ac:dyDescent="0.3">
      <c r="A495" s="6" t="s">
        <v>544</v>
      </c>
      <c r="B495" s="6" t="s">
        <v>10</v>
      </c>
      <c r="C495" s="6" t="s">
        <v>110</v>
      </c>
      <c r="D495" s="6">
        <v>2017</v>
      </c>
      <c r="E495" s="6" t="s">
        <v>55</v>
      </c>
      <c r="F495" s="6" t="s">
        <v>35</v>
      </c>
      <c r="G495" s="6" t="s">
        <v>14</v>
      </c>
      <c r="H495" s="7">
        <v>31016.48</v>
      </c>
      <c r="I495" s="7" t="str">
        <f t="shared" si="14"/>
        <v>80k-90k</v>
      </c>
      <c r="J495" s="6">
        <v>19</v>
      </c>
      <c r="K495" s="8">
        <f t="shared" si="15"/>
        <v>589313.12</v>
      </c>
      <c r="L495" s="6" t="s">
        <v>32</v>
      </c>
    </row>
    <row r="496" spans="1:12" x14ac:dyDescent="0.3">
      <c r="A496" s="6" t="s">
        <v>545</v>
      </c>
      <c r="B496" s="6" t="s">
        <v>10</v>
      </c>
      <c r="C496" s="6" t="s">
        <v>110</v>
      </c>
      <c r="D496" s="6">
        <v>2017</v>
      </c>
      <c r="E496" s="6" t="s">
        <v>31</v>
      </c>
      <c r="F496" s="6" t="s">
        <v>19</v>
      </c>
      <c r="G496" s="6" t="s">
        <v>20</v>
      </c>
      <c r="H496" s="7">
        <v>42214.03</v>
      </c>
      <c r="I496" s="7" t="str">
        <f t="shared" si="14"/>
        <v>80k-90k</v>
      </c>
      <c r="J496" s="6">
        <v>19</v>
      </c>
      <c r="K496" s="8">
        <f t="shared" si="15"/>
        <v>802066.57</v>
      </c>
      <c r="L496" s="6" t="s">
        <v>32</v>
      </c>
    </row>
    <row r="497" spans="1:12" x14ac:dyDescent="0.3">
      <c r="A497" s="6" t="s">
        <v>546</v>
      </c>
      <c r="B497" s="6" t="s">
        <v>17</v>
      </c>
      <c r="C497" s="6" t="s">
        <v>46</v>
      </c>
      <c r="D497" s="6">
        <v>2018</v>
      </c>
      <c r="E497" s="6" t="s">
        <v>55</v>
      </c>
      <c r="F497" s="6" t="s">
        <v>35</v>
      </c>
      <c r="G497" s="6" t="s">
        <v>14</v>
      </c>
      <c r="H497" s="7">
        <v>97334.54</v>
      </c>
      <c r="I497" s="7" t="str">
        <f t="shared" si="14"/>
        <v>90k-1L</v>
      </c>
      <c r="J497" s="6">
        <v>18</v>
      </c>
      <c r="K497" s="8">
        <f t="shared" si="15"/>
        <v>1752021.72</v>
      </c>
      <c r="L497" s="6" t="s">
        <v>36</v>
      </c>
    </row>
    <row r="498" spans="1:12" x14ac:dyDescent="0.3">
      <c r="A498" s="6" t="s">
        <v>547</v>
      </c>
      <c r="B498" s="6" t="s">
        <v>43</v>
      </c>
      <c r="C498" s="6" t="s">
        <v>93</v>
      </c>
      <c r="D498" s="6">
        <v>2023</v>
      </c>
      <c r="E498" s="6" t="s">
        <v>12</v>
      </c>
      <c r="F498" s="6" t="s">
        <v>35</v>
      </c>
      <c r="G498" s="6" t="s">
        <v>20</v>
      </c>
      <c r="H498" s="7">
        <v>53580.76</v>
      </c>
      <c r="I498" s="7" t="str">
        <f t="shared" si="14"/>
        <v>80k-90k</v>
      </c>
      <c r="J498" s="6">
        <v>14</v>
      </c>
      <c r="K498" s="8">
        <f t="shared" si="15"/>
        <v>750130.64</v>
      </c>
      <c r="L498" s="6" t="s">
        <v>15</v>
      </c>
    </row>
    <row r="499" spans="1:12" x14ac:dyDescent="0.3">
      <c r="A499" s="6" t="s">
        <v>548</v>
      </c>
      <c r="B499" s="6" t="s">
        <v>22</v>
      </c>
      <c r="C499" s="6" t="s">
        <v>53</v>
      </c>
      <c r="D499" s="6">
        <v>2021</v>
      </c>
      <c r="E499" s="6" t="s">
        <v>55</v>
      </c>
      <c r="F499" s="6" t="s">
        <v>19</v>
      </c>
      <c r="G499" s="6" t="s">
        <v>20</v>
      </c>
      <c r="H499" s="7">
        <v>24233.93</v>
      </c>
      <c r="I499" s="7" t="str">
        <f t="shared" si="14"/>
        <v>80k-90k</v>
      </c>
      <c r="J499" s="6">
        <v>8</v>
      </c>
      <c r="K499" s="8">
        <f t="shared" si="15"/>
        <v>193871.44</v>
      </c>
      <c r="L499" s="6" t="s">
        <v>15</v>
      </c>
    </row>
    <row r="500" spans="1:12" x14ac:dyDescent="0.3">
      <c r="A500" s="6" t="s">
        <v>549</v>
      </c>
      <c r="B500" s="6" t="s">
        <v>38</v>
      </c>
      <c r="C500" s="6" t="s">
        <v>96</v>
      </c>
      <c r="D500" s="6">
        <v>2018</v>
      </c>
      <c r="E500" s="6" t="s">
        <v>12</v>
      </c>
      <c r="F500" s="6" t="s">
        <v>13</v>
      </c>
      <c r="G500" s="6" t="s">
        <v>20</v>
      </c>
      <c r="H500" s="7">
        <v>55534.6</v>
      </c>
      <c r="I500" s="7" t="str">
        <f t="shared" si="14"/>
        <v>80k-90k</v>
      </c>
      <c r="J500" s="6">
        <v>15</v>
      </c>
      <c r="K500" s="8">
        <f t="shared" si="15"/>
        <v>833019</v>
      </c>
      <c r="L500" s="6" t="s">
        <v>15</v>
      </c>
    </row>
    <row r="501" spans="1:12" x14ac:dyDescent="0.3">
      <c r="A501" s="6" t="s">
        <v>550</v>
      </c>
      <c r="B501" s="6" t="s">
        <v>17</v>
      </c>
      <c r="C501" s="6" t="s">
        <v>18</v>
      </c>
      <c r="D501" s="6">
        <v>2025</v>
      </c>
      <c r="E501" s="6" t="s">
        <v>24</v>
      </c>
      <c r="F501" s="6" t="s">
        <v>35</v>
      </c>
      <c r="G501" s="6" t="s">
        <v>20</v>
      </c>
      <c r="H501" s="7">
        <v>59691.91</v>
      </c>
      <c r="I501" s="7" t="str">
        <f t="shared" si="14"/>
        <v>80k-90k</v>
      </c>
      <c r="J501" s="6">
        <v>14</v>
      </c>
      <c r="K501" s="8">
        <f t="shared" si="15"/>
        <v>835686.74</v>
      </c>
      <c r="L501" s="6" t="s">
        <v>32</v>
      </c>
    </row>
    <row r="502" spans="1:12" x14ac:dyDescent="0.3">
      <c r="A502" s="6" t="s">
        <v>551</v>
      </c>
      <c r="B502" s="6" t="s">
        <v>38</v>
      </c>
      <c r="C502" s="6" t="s">
        <v>96</v>
      </c>
      <c r="D502" s="6">
        <v>2024</v>
      </c>
      <c r="E502" s="6" t="s">
        <v>24</v>
      </c>
      <c r="F502" s="6" t="s">
        <v>19</v>
      </c>
      <c r="G502" s="6" t="s">
        <v>14</v>
      </c>
      <c r="H502" s="7">
        <v>75993.8</v>
      </c>
      <c r="I502" s="7" t="str">
        <f t="shared" si="14"/>
        <v>80k-90k</v>
      </c>
      <c r="J502" s="6">
        <v>6</v>
      </c>
      <c r="K502" s="8">
        <f t="shared" si="15"/>
        <v>455962.80000000005</v>
      </c>
      <c r="L502" s="6"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A0D6-C6BA-4329-8879-2C947923FFC0}">
  <dimension ref="A3:B7"/>
  <sheetViews>
    <sheetView zoomScale="95" workbookViewId="0">
      <selection activeCell="B7" sqref="B7"/>
    </sheetView>
  </sheetViews>
  <sheetFormatPr defaultRowHeight="14.4" x14ac:dyDescent="0.3"/>
  <cols>
    <col min="1" max="1" width="12.88671875" bestFit="1" customWidth="1"/>
    <col min="2" max="2" width="14.109375" bestFit="1" customWidth="1"/>
  </cols>
  <sheetData>
    <row r="3" spans="1:2" x14ac:dyDescent="0.3">
      <c r="A3" s="2" t="s">
        <v>553</v>
      </c>
      <c r="B3" t="s">
        <v>555</v>
      </c>
    </row>
    <row r="4" spans="1:2" x14ac:dyDescent="0.3">
      <c r="A4" s="3" t="s">
        <v>15</v>
      </c>
      <c r="B4" s="19">
        <v>179</v>
      </c>
    </row>
    <row r="5" spans="1:2" x14ac:dyDescent="0.3">
      <c r="A5" s="3" t="s">
        <v>32</v>
      </c>
      <c r="B5" s="19">
        <v>157</v>
      </c>
    </row>
    <row r="6" spans="1:2" x14ac:dyDescent="0.3">
      <c r="A6" s="3" t="s">
        <v>36</v>
      </c>
      <c r="B6" s="19">
        <v>165</v>
      </c>
    </row>
    <row r="7" spans="1:2" x14ac:dyDescent="0.3">
      <c r="A7" s="3" t="s">
        <v>554</v>
      </c>
      <c r="B7" s="19">
        <v>501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E9431-6B21-4382-BC23-FC30EF67AC4E}">
  <dimension ref="A3:E13"/>
  <sheetViews>
    <sheetView workbookViewId="0">
      <selection activeCell="C8" sqref="C8"/>
    </sheetView>
  </sheetViews>
  <sheetFormatPr defaultRowHeight="14.4" x14ac:dyDescent="0.3"/>
  <cols>
    <col min="1" max="1" width="13.6640625" bestFit="1" customWidth="1"/>
    <col min="2" max="2" width="15.5546875" bestFit="1" customWidth="1"/>
    <col min="3" max="3" width="8.6640625" bestFit="1" customWidth="1"/>
    <col min="4" max="4" width="4.77734375" bestFit="1" customWidth="1"/>
    <col min="5" max="5" width="10.5546875" bestFit="1" customWidth="1"/>
  </cols>
  <sheetData>
    <row r="3" spans="1:5" x14ac:dyDescent="0.3">
      <c r="A3" s="2" t="s">
        <v>555</v>
      </c>
      <c r="B3" s="2" t="s">
        <v>557</v>
      </c>
    </row>
    <row r="4" spans="1:5" x14ac:dyDescent="0.3">
      <c r="A4" s="2" t="s">
        <v>553</v>
      </c>
      <c r="B4" t="s">
        <v>15</v>
      </c>
      <c r="C4" t="s">
        <v>32</v>
      </c>
      <c r="D4" t="s">
        <v>36</v>
      </c>
      <c r="E4" t="s">
        <v>554</v>
      </c>
    </row>
    <row r="5" spans="1:5" x14ac:dyDescent="0.3">
      <c r="A5" s="3" t="s">
        <v>43</v>
      </c>
      <c r="B5" s="19">
        <v>22</v>
      </c>
      <c r="C5" s="19">
        <v>19</v>
      </c>
      <c r="D5" s="19">
        <v>27</v>
      </c>
      <c r="E5" s="19">
        <v>68</v>
      </c>
    </row>
    <row r="6" spans="1:5" x14ac:dyDescent="0.3">
      <c r="A6" s="3" t="s">
        <v>26</v>
      </c>
      <c r="B6" s="19">
        <v>21</v>
      </c>
      <c r="C6" s="19">
        <v>19</v>
      </c>
      <c r="D6" s="19">
        <v>19</v>
      </c>
      <c r="E6" s="19">
        <v>59</v>
      </c>
    </row>
    <row r="7" spans="1:5" x14ac:dyDescent="0.3">
      <c r="A7" s="3" t="s">
        <v>70</v>
      </c>
      <c r="B7" s="19">
        <v>22</v>
      </c>
      <c r="C7" s="19">
        <v>17</v>
      </c>
      <c r="D7" s="19">
        <v>29</v>
      </c>
      <c r="E7" s="19">
        <v>68</v>
      </c>
    </row>
    <row r="8" spans="1:5" x14ac:dyDescent="0.3">
      <c r="A8" s="3" t="s">
        <v>38</v>
      </c>
      <c r="B8" s="19">
        <v>29</v>
      </c>
      <c r="C8" s="19">
        <v>27</v>
      </c>
      <c r="D8" s="19">
        <v>21</v>
      </c>
      <c r="E8" s="19">
        <v>77</v>
      </c>
    </row>
    <row r="9" spans="1:5" x14ac:dyDescent="0.3">
      <c r="A9" s="3" t="s">
        <v>22</v>
      </c>
      <c r="B9" s="19">
        <v>33</v>
      </c>
      <c r="C9" s="19">
        <v>22</v>
      </c>
      <c r="D9" s="19">
        <v>23</v>
      </c>
      <c r="E9" s="19">
        <v>78</v>
      </c>
    </row>
    <row r="10" spans="1:5" x14ac:dyDescent="0.3">
      <c r="A10" s="3" t="s">
        <v>17</v>
      </c>
      <c r="B10" s="19">
        <v>25</v>
      </c>
      <c r="C10" s="19">
        <v>31</v>
      </c>
      <c r="D10" s="19">
        <v>21</v>
      </c>
      <c r="E10" s="19">
        <v>77</v>
      </c>
    </row>
    <row r="11" spans="1:5" x14ac:dyDescent="0.3">
      <c r="A11" s="3" t="s">
        <v>10</v>
      </c>
      <c r="B11" s="19">
        <v>25</v>
      </c>
      <c r="C11" s="19">
        <v>21</v>
      </c>
      <c r="D11" s="19">
        <v>24</v>
      </c>
      <c r="E11" s="19">
        <v>70</v>
      </c>
    </row>
    <row r="12" spans="1:5" x14ac:dyDescent="0.3">
      <c r="A12" s="3" t="s">
        <v>552</v>
      </c>
      <c r="B12" s="19">
        <v>2</v>
      </c>
      <c r="C12" s="19">
        <v>1</v>
      </c>
      <c r="D12" s="19">
        <v>1</v>
      </c>
      <c r="E12" s="19">
        <v>4</v>
      </c>
    </row>
    <row r="13" spans="1:5" x14ac:dyDescent="0.3">
      <c r="A13" s="3" t="s">
        <v>554</v>
      </c>
      <c r="B13" s="19">
        <v>179</v>
      </c>
      <c r="C13" s="19">
        <v>157</v>
      </c>
      <c r="D13" s="19">
        <v>165</v>
      </c>
      <c r="E13" s="19">
        <v>501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D37B1-A8CC-4B15-9B16-736E5E3E8380}">
  <dimension ref="A1:B12"/>
  <sheetViews>
    <sheetView workbookViewId="0">
      <selection activeCell="B9" sqref="B9"/>
    </sheetView>
  </sheetViews>
  <sheetFormatPr defaultRowHeight="14.4" x14ac:dyDescent="0.3"/>
  <cols>
    <col min="1" max="1" width="12.44140625" bestFit="1" customWidth="1"/>
    <col min="2" max="2" width="22.33203125" bestFit="1" customWidth="1"/>
  </cols>
  <sheetData>
    <row r="1" spans="1:2" x14ac:dyDescent="0.3">
      <c r="A1" s="2" t="s">
        <v>8</v>
      </c>
      <c r="B1" t="s">
        <v>563</v>
      </c>
    </row>
    <row r="3" spans="1:2" x14ac:dyDescent="0.3">
      <c r="A3" s="2" t="s">
        <v>553</v>
      </c>
      <c r="B3" t="s">
        <v>556</v>
      </c>
    </row>
    <row r="4" spans="1:2" x14ac:dyDescent="0.3">
      <c r="A4" s="3" t="s">
        <v>43</v>
      </c>
      <c r="B4" s="19">
        <v>670</v>
      </c>
    </row>
    <row r="5" spans="1:2" x14ac:dyDescent="0.3">
      <c r="A5" s="3" t="s">
        <v>26</v>
      </c>
      <c r="B5" s="19">
        <v>543</v>
      </c>
    </row>
    <row r="6" spans="1:2" x14ac:dyDescent="0.3">
      <c r="A6" s="3" t="s">
        <v>70</v>
      </c>
      <c r="B6" s="19">
        <v>673</v>
      </c>
    </row>
    <row r="7" spans="1:2" x14ac:dyDescent="0.3">
      <c r="A7" s="3" t="s">
        <v>38</v>
      </c>
      <c r="B7" s="19">
        <v>793</v>
      </c>
    </row>
    <row r="8" spans="1:2" x14ac:dyDescent="0.3">
      <c r="A8" s="3" t="s">
        <v>22</v>
      </c>
      <c r="B8" s="19">
        <v>782</v>
      </c>
    </row>
    <row r="9" spans="1:2" x14ac:dyDescent="0.3">
      <c r="A9" s="3" t="s">
        <v>17</v>
      </c>
      <c r="B9" s="19">
        <v>776</v>
      </c>
    </row>
    <row r="10" spans="1:2" x14ac:dyDescent="0.3">
      <c r="A10" s="3" t="s">
        <v>10</v>
      </c>
      <c r="B10" s="19">
        <v>699</v>
      </c>
    </row>
    <row r="11" spans="1:2" x14ac:dyDescent="0.3">
      <c r="A11" s="3" t="s">
        <v>552</v>
      </c>
      <c r="B11" s="19">
        <v>56</v>
      </c>
    </row>
    <row r="12" spans="1:2" x14ac:dyDescent="0.3">
      <c r="A12" s="3" t="s">
        <v>554</v>
      </c>
      <c r="B12" s="19">
        <v>4992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751BC-2548-4A5B-8980-D38ACC5B9CDE}">
  <dimension ref="A1:B12"/>
  <sheetViews>
    <sheetView workbookViewId="0">
      <selection activeCell="B10" sqref="B10"/>
    </sheetView>
  </sheetViews>
  <sheetFormatPr defaultRowHeight="14.4" x14ac:dyDescent="0.3"/>
  <cols>
    <col min="1" max="1" width="12.44140625" bestFit="1" customWidth="1"/>
    <col min="2" max="2" width="19.88671875" bestFit="1" customWidth="1"/>
  </cols>
  <sheetData>
    <row r="1" spans="1:2" x14ac:dyDescent="0.3">
      <c r="A1" s="2" t="s">
        <v>8</v>
      </c>
      <c r="B1" t="s">
        <v>563</v>
      </c>
    </row>
    <row r="3" spans="1:2" x14ac:dyDescent="0.3">
      <c r="A3" s="2" t="s">
        <v>553</v>
      </c>
      <c r="B3" t="s">
        <v>559</v>
      </c>
    </row>
    <row r="4" spans="1:2" x14ac:dyDescent="0.3">
      <c r="A4" s="3" t="s">
        <v>43</v>
      </c>
      <c r="B4" s="1">
        <v>39708628.700000003</v>
      </c>
    </row>
    <row r="5" spans="1:2" x14ac:dyDescent="0.3">
      <c r="A5" s="3" t="s">
        <v>26</v>
      </c>
      <c r="B5" s="1">
        <v>32201446.48</v>
      </c>
    </row>
    <row r="6" spans="1:2" x14ac:dyDescent="0.3">
      <c r="A6" s="3" t="s">
        <v>70</v>
      </c>
      <c r="B6" s="1">
        <v>41486984.19000002</v>
      </c>
    </row>
    <row r="7" spans="1:2" x14ac:dyDescent="0.3">
      <c r="A7" s="3" t="s">
        <v>38</v>
      </c>
      <c r="B7" s="1">
        <v>49834158.530000001</v>
      </c>
    </row>
    <row r="8" spans="1:2" x14ac:dyDescent="0.3">
      <c r="A8" s="3" t="s">
        <v>22</v>
      </c>
      <c r="B8" s="1">
        <v>45239722.919999994</v>
      </c>
    </row>
    <row r="9" spans="1:2" x14ac:dyDescent="0.3">
      <c r="A9" s="3" t="s">
        <v>17</v>
      </c>
      <c r="B9" s="1">
        <v>42021554.959999986</v>
      </c>
    </row>
    <row r="10" spans="1:2" x14ac:dyDescent="0.3">
      <c r="A10" s="3" t="s">
        <v>10</v>
      </c>
      <c r="B10" s="1">
        <v>39587332.460000008</v>
      </c>
    </row>
    <row r="11" spans="1:2" x14ac:dyDescent="0.3">
      <c r="A11" s="3" t="s">
        <v>552</v>
      </c>
      <c r="B11" s="1">
        <v>3353983.27</v>
      </c>
    </row>
    <row r="12" spans="1:2" x14ac:dyDescent="0.3">
      <c r="A12" s="3" t="s">
        <v>554</v>
      </c>
      <c r="B12" s="1">
        <v>293433811.50999999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3C4E9-974D-44C0-B376-99869AEECB73}">
  <dimension ref="A1:B25"/>
  <sheetViews>
    <sheetView workbookViewId="0">
      <selection activeCell="B13" sqref="B13"/>
    </sheetView>
  </sheetViews>
  <sheetFormatPr defaultRowHeight="14.4" x14ac:dyDescent="0.3"/>
  <cols>
    <col min="1" max="1" width="12.44140625" bestFit="1" customWidth="1"/>
    <col min="2" max="2" width="22.33203125" bestFit="1" customWidth="1"/>
  </cols>
  <sheetData>
    <row r="1" spans="1:2" x14ac:dyDescent="0.3">
      <c r="A1" s="2" t="s">
        <v>8</v>
      </c>
      <c r="B1" t="s">
        <v>563</v>
      </c>
    </row>
    <row r="3" spans="1:2" x14ac:dyDescent="0.3">
      <c r="A3" s="2" t="s">
        <v>553</v>
      </c>
      <c r="B3" t="s">
        <v>556</v>
      </c>
    </row>
    <row r="4" spans="1:2" x14ac:dyDescent="0.3">
      <c r="A4" s="3" t="s">
        <v>44</v>
      </c>
      <c r="B4" s="19">
        <v>250</v>
      </c>
    </row>
    <row r="5" spans="1:2" x14ac:dyDescent="0.3">
      <c r="A5" s="3" t="s">
        <v>91</v>
      </c>
      <c r="B5" s="19">
        <v>237</v>
      </c>
    </row>
    <row r="6" spans="1:2" x14ac:dyDescent="0.3">
      <c r="A6" s="3" t="s">
        <v>53</v>
      </c>
      <c r="B6" s="19">
        <v>161</v>
      </c>
    </row>
    <row r="7" spans="1:2" x14ac:dyDescent="0.3">
      <c r="A7" s="3" t="s">
        <v>11</v>
      </c>
      <c r="B7" s="19">
        <v>360</v>
      </c>
    </row>
    <row r="8" spans="1:2" x14ac:dyDescent="0.3">
      <c r="A8" s="3" t="s">
        <v>39</v>
      </c>
      <c r="B8" s="19">
        <v>251</v>
      </c>
    </row>
    <row r="9" spans="1:2" x14ac:dyDescent="0.3">
      <c r="A9" s="3" t="s">
        <v>80</v>
      </c>
      <c r="B9" s="19">
        <v>246</v>
      </c>
    </row>
    <row r="10" spans="1:2" x14ac:dyDescent="0.3">
      <c r="A10" s="3" t="s">
        <v>110</v>
      </c>
      <c r="B10" s="19">
        <v>162</v>
      </c>
    </row>
    <row r="11" spans="1:2" x14ac:dyDescent="0.3">
      <c r="A11" s="3" t="s">
        <v>65</v>
      </c>
      <c r="B11" s="19">
        <v>247</v>
      </c>
    </row>
    <row r="12" spans="1:2" x14ac:dyDescent="0.3">
      <c r="A12" s="3" t="s">
        <v>34</v>
      </c>
      <c r="B12" s="19">
        <v>169</v>
      </c>
    </row>
    <row r="13" spans="1:2" x14ac:dyDescent="0.3">
      <c r="A13" s="3" t="s">
        <v>96</v>
      </c>
      <c r="B13" s="19">
        <v>295</v>
      </c>
    </row>
    <row r="14" spans="1:2" x14ac:dyDescent="0.3">
      <c r="A14" s="3" t="s">
        <v>18</v>
      </c>
      <c r="B14" s="19">
        <v>266</v>
      </c>
    </row>
    <row r="15" spans="1:2" x14ac:dyDescent="0.3">
      <c r="A15" s="3" t="s">
        <v>46</v>
      </c>
      <c r="B15" s="19">
        <v>235</v>
      </c>
    </row>
    <row r="16" spans="1:2" x14ac:dyDescent="0.3">
      <c r="A16" s="3" t="s">
        <v>62</v>
      </c>
      <c r="B16" s="19">
        <v>285</v>
      </c>
    </row>
    <row r="17" spans="1:2" x14ac:dyDescent="0.3">
      <c r="A17" s="3" t="s">
        <v>23</v>
      </c>
      <c r="B17" s="19">
        <v>288</v>
      </c>
    </row>
    <row r="18" spans="1:2" x14ac:dyDescent="0.3">
      <c r="A18" s="3" t="s">
        <v>30</v>
      </c>
      <c r="B18" s="19">
        <v>177</v>
      </c>
    </row>
    <row r="19" spans="1:2" x14ac:dyDescent="0.3">
      <c r="A19" s="3" t="s">
        <v>114</v>
      </c>
      <c r="B19" s="19">
        <v>217</v>
      </c>
    </row>
    <row r="20" spans="1:2" x14ac:dyDescent="0.3">
      <c r="A20" s="3" t="s">
        <v>27</v>
      </c>
      <c r="B20" s="19">
        <v>164</v>
      </c>
    </row>
    <row r="21" spans="1:2" x14ac:dyDescent="0.3">
      <c r="A21" s="3" t="s">
        <v>71</v>
      </c>
      <c r="B21" s="19">
        <v>210</v>
      </c>
    </row>
    <row r="22" spans="1:2" x14ac:dyDescent="0.3">
      <c r="A22" s="3" t="s">
        <v>105</v>
      </c>
      <c r="B22" s="19">
        <v>350</v>
      </c>
    </row>
    <row r="23" spans="1:2" x14ac:dyDescent="0.3">
      <c r="A23" s="3" t="s">
        <v>74</v>
      </c>
      <c r="B23" s="19">
        <v>225</v>
      </c>
    </row>
    <row r="24" spans="1:2" x14ac:dyDescent="0.3">
      <c r="A24" s="3" t="s">
        <v>93</v>
      </c>
      <c r="B24" s="19">
        <v>197</v>
      </c>
    </row>
    <row r="25" spans="1:2" x14ac:dyDescent="0.3">
      <c r="A25" s="3" t="s">
        <v>554</v>
      </c>
      <c r="B25" s="19">
        <v>4992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7684-A69F-41FD-82D8-D51913CA3B2F}">
  <dimension ref="A1:B15"/>
  <sheetViews>
    <sheetView workbookViewId="0">
      <selection activeCell="B11" sqref="B11"/>
    </sheetView>
  </sheetViews>
  <sheetFormatPr defaultRowHeight="14.4" x14ac:dyDescent="0.3"/>
  <cols>
    <col min="1" max="1" width="12.44140625" bestFit="1" customWidth="1"/>
    <col min="2" max="2" width="22.33203125" bestFit="1" customWidth="1"/>
  </cols>
  <sheetData>
    <row r="1" spans="1:2" x14ac:dyDescent="0.3">
      <c r="A1" s="2" t="s">
        <v>8</v>
      </c>
      <c r="B1" t="s">
        <v>563</v>
      </c>
    </row>
    <row r="3" spans="1:2" x14ac:dyDescent="0.3">
      <c r="A3" s="2" t="s">
        <v>553</v>
      </c>
      <c r="B3" t="s">
        <v>556</v>
      </c>
    </row>
    <row r="4" spans="1:2" x14ac:dyDescent="0.3">
      <c r="A4" s="3">
        <v>2015</v>
      </c>
      <c r="B4" s="19">
        <v>463</v>
      </c>
    </row>
    <row r="5" spans="1:2" x14ac:dyDescent="0.3">
      <c r="A5" s="3">
        <v>2016</v>
      </c>
      <c r="B5" s="19">
        <v>553</v>
      </c>
    </row>
    <row r="6" spans="1:2" x14ac:dyDescent="0.3">
      <c r="A6" s="3">
        <v>2017</v>
      </c>
      <c r="B6" s="19">
        <v>404</v>
      </c>
    </row>
    <row r="7" spans="1:2" x14ac:dyDescent="0.3">
      <c r="A7" s="3">
        <v>2018</v>
      </c>
      <c r="B7" s="19">
        <v>709</v>
      </c>
    </row>
    <row r="8" spans="1:2" x14ac:dyDescent="0.3">
      <c r="A8" s="3">
        <v>2019</v>
      </c>
      <c r="B8" s="19">
        <v>554</v>
      </c>
    </row>
    <row r="9" spans="1:2" x14ac:dyDescent="0.3">
      <c r="A9" s="3">
        <v>2020</v>
      </c>
      <c r="B9" s="19">
        <v>321</v>
      </c>
    </row>
    <row r="10" spans="1:2" x14ac:dyDescent="0.3">
      <c r="A10" s="3">
        <v>2021</v>
      </c>
      <c r="B10" s="19">
        <v>275</v>
      </c>
    </row>
    <row r="11" spans="1:2" x14ac:dyDescent="0.3">
      <c r="A11" s="3">
        <v>2022</v>
      </c>
      <c r="B11" s="19">
        <v>527</v>
      </c>
    </row>
    <row r="12" spans="1:2" x14ac:dyDescent="0.3">
      <c r="A12" s="3">
        <v>2023</v>
      </c>
      <c r="B12" s="19">
        <v>413</v>
      </c>
    </row>
    <row r="13" spans="1:2" x14ac:dyDescent="0.3">
      <c r="A13" s="3">
        <v>2024</v>
      </c>
      <c r="B13" s="19">
        <v>410</v>
      </c>
    </row>
    <row r="14" spans="1:2" x14ac:dyDescent="0.3">
      <c r="A14" s="3">
        <v>2025</v>
      </c>
      <c r="B14" s="19">
        <v>363</v>
      </c>
    </row>
    <row r="15" spans="1:2" x14ac:dyDescent="0.3">
      <c r="A15" s="3" t="s">
        <v>554</v>
      </c>
      <c r="B15" s="19">
        <v>4992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4CC19-5122-47F7-867F-EDCB5DF10DCC}">
  <dimension ref="A3:E7"/>
  <sheetViews>
    <sheetView workbookViewId="0">
      <selection activeCell="B5" sqref="B5"/>
    </sheetView>
  </sheetViews>
  <sheetFormatPr defaultRowHeight="14.4" x14ac:dyDescent="0.3"/>
  <cols>
    <col min="1" max="1" width="13.6640625" bestFit="1" customWidth="1"/>
    <col min="2" max="2" width="15.5546875" bestFit="1" customWidth="1"/>
    <col min="3" max="3" width="8.6640625" bestFit="1" customWidth="1"/>
    <col min="4" max="4" width="4.77734375" bestFit="1" customWidth="1"/>
    <col min="5" max="5" width="10.5546875" bestFit="1" customWidth="1"/>
  </cols>
  <sheetData>
    <row r="3" spans="1:5" x14ac:dyDescent="0.3">
      <c r="A3" s="2" t="s">
        <v>555</v>
      </c>
      <c r="B3" s="2" t="s">
        <v>557</v>
      </c>
    </row>
    <row r="4" spans="1:5" x14ac:dyDescent="0.3">
      <c r="A4" s="2" t="s">
        <v>553</v>
      </c>
      <c r="B4" t="s">
        <v>15</v>
      </c>
      <c r="C4" t="s">
        <v>32</v>
      </c>
      <c r="D4" t="s">
        <v>36</v>
      </c>
      <c r="E4" t="s">
        <v>554</v>
      </c>
    </row>
    <row r="5" spans="1:5" x14ac:dyDescent="0.3">
      <c r="A5" s="3" t="s">
        <v>14</v>
      </c>
      <c r="B5" s="19">
        <v>96</v>
      </c>
      <c r="C5" s="19">
        <v>72</v>
      </c>
      <c r="D5" s="19">
        <v>79</v>
      </c>
      <c r="E5" s="19">
        <v>247</v>
      </c>
    </row>
    <row r="6" spans="1:5" x14ac:dyDescent="0.3">
      <c r="A6" s="3" t="s">
        <v>20</v>
      </c>
      <c r="B6" s="19">
        <v>83</v>
      </c>
      <c r="C6" s="19">
        <v>85</v>
      </c>
      <c r="D6" s="19">
        <v>86</v>
      </c>
      <c r="E6" s="19">
        <v>254</v>
      </c>
    </row>
    <row r="7" spans="1:5" x14ac:dyDescent="0.3">
      <c r="A7" s="3" t="s">
        <v>554</v>
      </c>
      <c r="B7" s="19">
        <v>179</v>
      </c>
      <c r="C7" s="19">
        <v>157</v>
      </c>
      <c r="D7" s="19">
        <v>165</v>
      </c>
      <c r="E7" s="19">
        <v>501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03C9-7775-4B27-9450-9511BC1E7D9D}">
  <dimension ref="A3:E9"/>
  <sheetViews>
    <sheetView workbookViewId="0">
      <selection activeCell="B7" sqref="B7"/>
    </sheetView>
  </sheetViews>
  <sheetFormatPr defaultRowHeight="14.4" x14ac:dyDescent="0.3"/>
  <cols>
    <col min="1" max="1" width="22.33203125" bestFit="1" customWidth="1"/>
    <col min="2" max="2" width="15.5546875" bestFit="1" customWidth="1"/>
    <col min="3" max="3" width="8.6640625" bestFit="1" customWidth="1"/>
    <col min="4" max="4" width="5" bestFit="1" customWidth="1"/>
    <col min="5" max="5" width="10.5546875" bestFit="1" customWidth="1"/>
  </cols>
  <sheetData>
    <row r="3" spans="1:5" x14ac:dyDescent="0.3">
      <c r="A3" s="2" t="s">
        <v>556</v>
      </c>
      <c r="B3" s="2" t="s">
        <v>557</v>
      </c>
    </row>
    <row r="4" spans="1:5" x14ac:dyDescent="0.3">
      <c r="A4" s="2" t="s">
        <v>553</v>
      </c>
      <c r="B4" t="s">
        <v>15</v>
      </c>
      <c r="C4" t="s">
        <v>32</v>
      </c>
      <c r="D4" t="s">
        <v>36</v>
      </c>
      <c r="E4" t="s">
        <v>554</v>
      </c>
    </row>
    <row r="5" spans="1:5" x14ac:dyDescent="0.3">
      <c r="A5" s="3" t="s">
        <v>35</v>
      </c>
      <c r="B5" s="19">
        <v>485</v>
      </c>
      <c r="C5" s="19">
        <v>437</v>
      </c>
      <c r="D5" s="19">
        <v>419</v>
      </c>
      <c r="E5" s="19">
        <v>1341</v>
      </c>
    </row>
    <row r="6" spans="1:5" x14ac:dyDescent="0.3">
      <c r="A6" s="3" t="s">
        <v>19</v>
      </c>
      <c r="B6" s="19">
        <v>482</v>
      </c>
      <c r="C6" s="19">
        <v>380</v>
      </c>
      <c r="D6" s="19">
        <v>448</v>
      </c>
      <c r="E6" s="19">
        <v>1310</v>
      </c>
    </row>
    <row r="7" spans="1:5" x14ac:dyDescent="0.3">
      <c r="A7" s="3" t="s">
        <v>28</v>
      </c>
      <c r="B7" s="19">
        <v>380</v>
      </c>
      <c r="C7" s="19">
        <v>415</v>
      </c>
      <c r="D7" s="19">
        <v>332</v>
      </c>
      <c r="E7" s="19">
        <v>1127</v>
      </c>
    </row>
    <row r="8" spans="1:5" x14ac:dyDescent="0.3">
      <c r="A8" s="3" t="s">
        <v>13</v>
      </c>
      <c r="B8" s="19">
        <v>477</v>
      </c>
      <c r="C8" s="19">
        <v>386</v>
      </c>
      <c r="D8" s="19">
        <v>351</v>
      </c>
      <c r="E8" s="19">
        <v>1214</v>
      </c>
    </row>
    <row r="9" spans="1:5" x14ac:dyDescent="0.3">
      <c r="A9" s="3" t="s">
        <v>554</v>
      </c>
      <c r="B9" s="19">
        <v>1824</v>
      </c>
      <c r="C9" s="19">
        <v>1618</v>
      </c>
      <c r="D9" s="19">
        <v>1550</v>
      </c>
      <c r="E9" s="19">
        <v>4992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45E99-6508-4A94-8E1D-435A415AEE19}">
  <dimension ref="A3:G13"/>
  <sheetViews>
    <sheetView workbookViewId="0">
      <selection activeCell="C7" sqref="C7"/>
    </sheetView>
  </sheetViews>
  <sheetFormatPr defaultRowHeight="14.4" x14ac:dyDescent="0.3"/>
  <cols>
    <col min="1" max="1" width="12.44140625" bestFit="1" customWidth="1"/>
    <col min="2" max="2" width="15.5546875" bestFit="1" customWidth="1"/>
    <col min="3" max="3" width="19.88671875" bestFit="1" customWidth="1"/>
    <col min="4" max="4" width="13.6640625" bestFit="1" customWidth="1"/>
    <col min="5" max="5" width="19.88671875" bestFit="1" customWidth="1"/>
    <col min="6" max="6" width="13.6640625" bestFit="1" customWidth="1"/>
    <col min="7" max="7" width="19.88671875" bestFit="1" customWidth="1"/>
    <col min="8" max="8" width="18.21875" bestFit="1" customWidth="1"/>
    <col min="9" max="9" width="24.44140625" bestFit="1" customWidth="1"/>
  </cols>
  <sheetData>
    <row r="3" spans="1:7" x14ac:dyDescent="0.3">
      <c r="B3" s="2" t="s">
        <v>557</v>
      </c>
    </row>
    <row r="4" spans="1:7" x14ac:dyDescent="0.3">
      <c r="B4" t="s">
        <v>15</v>
      </c>
      <c r="D4" t="s">
        <v>32</v>
      </c>
      <c r="F4" t="s">
        <v>36</v>
      </c>
    </row>
    <row r="5" spans="1:7" x14ac:dyDescent="0.3">
      <c r="A5" s="2" t="s">
        <v>553</v>
      </c>
      <c r="B5" t="s">
        <v>555</v>
      </c>
      <c r="C5" t="s">
        <v>559</v>
      </c>
      <c r="D5" t="s">
        <v>555</v>
      </c>
      <c r="E5" t="s">
        <v>559</v>
      </c>
      <c r="F5" t="s">
        <v>555</v>
      </c>
      <c r="G5" t="s">
        <v>559</v>
      </c>
    </row>
    <row r="6" spans="1:7" x14ac:dyDescent="0.3">
      <c r="A6" s="3" t="s">
        <v>561</v>
      </c>
      <c r="B6" s="19">
        <v>152</v>
      </c>
      <c r="C6" s="4">
        <v>87029670.070000052</v>
      </c>
      <c r="D6" s="19">
        <v>130</v>
      </c>
      <c r="E6" s="4">
        <v>66386137.650000006</v>
      </c>
      <c r="F6" s="19">
        <v>138</v>
      </c>
      <c r="G6" s="4">
        <v>71284278.529999986</v>
      </c>
    </row>
    <row r="7" spans="1:7" x14ac:dyDescent="0.3">
      <c r="A7" s="3" t="s">
        <v>562</v>
      </c>
      <c r="B7" s="19">
        <v>27</v>
      </c>
      <c r="C7" s="4">
        <v>23439099.780000001</v>
      </c>
      <c r="D7" s="19">
        <v>27</v>
      </c>
      <c r="E7" s="4">
        <v>22455543.530000001</v>
      </c>
      <c r="F7" s="19">
        <v>27</v>
      </c>
      <c r="G7" s="4">
        <v>22839081.949999999</v>
      </c>
    </row>
    <row r="8" spans="1:7" x14ac:dyDescent="0.3">
      <c r="A8" s="3" t="s">
        <v>554</v>
      </c>
      <c r="B8" s="19">
        <v>179</v>
      </c>
      <c r="C8" s="4">
        <v>110468769.85000004</v>
      </c>
      <c r="D8" s="19">
        <v>157</v>
      </c>
      <c r="E8" s="4">
        <v>88841681.180000007</v>
      </c>
      <c r="F8" s="19">
        <v>165</v>
      </c>
      <c r="G8" s="4">
        <v>94123360.479999989</v>
      </c>
    </row>
    <row r="13" spans="1:7" x14ac:dyDescent="0.3">
      <c r="B13" s="5"/>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B1612-49FD-4465-AB10-52EE8F302125}">
  <dimension ref="A2:B5"/>
  <sheetViews>
    <sheetView workbookViewId="0">
      <selection activeCell="A5" sqref="A5"/>
    </sheetView>
  </sheetViews>
  <sheetFormatPr defaultRowHeight="14.4" x14ac:dyDescent="0.3"/>
  <cols>
    <col min="1" max="1" width="13.6640625" bestFit="1" customWidth="1"/>
    <col min="2" max="2" width="6.33203125" bestFit="1" customWidth="1"/>
    <col min="3" max="3" width="13.109375" bestFit="1" customWidth="1"/>
    <col min="4" max="4" width="4.88671875" bestFit="1" customWidth="1"/>
    <col min="5" max="5" width="4.21875" bestFit="1" customWidth="1"/>
    <col min="6" max="6" width="5.77734375" bestFit="1" customWidth="1"/>
    <col min="7" max="7" width="5.88671875" bestFit="1" customWidth="1"/>
    <col min="8" max="8" width="10.5546875" bestFit="1" customWidth="1"/>
    <col min="9" max="9" width="8.5546875" bestFit="1" customWidth="1"/>
    <col min="10" max="10" width="10.5546875" bestFit="1" customWidth="1"/>
    <col min="11" max="11" width="4.33203125" bestFit="1" customWidth="1"/>
    <col min="12" max="12" width="7.44140625" bestFit="1" customWidth="1"/>
    <col min="13" max="14" width="7.5546875" bestFit="1" customWidth="1"/>
    <col min="15" max="15" width="7.88671875" bestFit="1" customWidth="1"/>
    <col min="16" max="16" width="5.33203125" bestFit="1" customWidth="1"/>
    <col min="17" max="17" width="6.21875" bestFit="1" customWidth="1"/>
    <col min="18" max="18" width="6.77734375" bestFit="1" customWidth="1"/>
    <col min="19" max="19" width="8.44140625" bestFit="1" customWidth="1"/>
    <col min="20" max="20" width="6" bestFit="1" customWidth="1"/>
    <col min="21" max="21" width="6.77734375" bestFit="1" customWidth="1"/>
    <col min="22" max="22" width="3.109375" bestFit="1" customWidth="1"/>
    <col min="23" max="23" width="10.5546875" bestFit="1" customWidth="1"/>
  </cols>
  <sheetData>
    <row r="2" spans="1:2" x14ac:dyDescent="0.3">
      <c r="A2" s="2" t="s">
        <v>1</v>
      </c>
      <c r="B2" t="s">
        <v>563</v>
      </c>
    </row>
    <row r="4" spans="1:2" x14ac:dyDescent="0.3">
      <c r="A4" t="s">
        <v>555</v>
      </c>
    </row>
    <row r="5" spans="1:2" x14ac:dyDescent="0.3">
      <c r="A5" s="19">
        <v>501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3437F-BF76-4437-9A05-5365368B4BC2}">
  <dimension ref="B1:BD20"/>
  <sheetViews>
    <sheetView showGridLines="0" showRowColHeaders="0" tabSelected="1" zoomScale="49" zoomScaleNormal="55" workbookViewId="0">
      <selection activeCell="AO27" sqref="AO27"/>
    </sheetView>
  </sheetViews>
  <sheetFormatPr defaultRowHeight="14.4" x14ac:dyDescent="0.3"/>
  <cols>
    <col min="2" max="2" width="17.33203125" bestFit="1" customWidth="1"/>
    <col min="3" max="3" width="10.77734375" bestFit="1" customWidth="1"/>
    <col min="4" max="4" width="9.88671875" bestFit="1" customWidth="1"/>
    <col min="6" max="7" width="9.88671875" bestFit="1" customWidth="1"/>
    <col min="8" max="8" width="44.33203125" bestFit="1" customWidth="1"/>
    <col min="15" max="15" width="17.33203125" bestFit="1" customWidth="1"/>
  </cols>
  <sheetData>
    <row r="1" spans="3:56" ht="14.4" customHeight="1" x14ac:dyDescent="0.3"/>
    <row r="2" spans="3:56" ht="14.4" customHeight="1" x14ac:dyDescent="0.3">
      <c r="X2" s="17"/>
      <c r="Y2" s="17"/>
      <c r="Z2" s="17"/>
      <c r="AA2" s="17"/>
      <c r="AB2" s="17"/>
      <c r="AC2" s="17"/>
      <c r="AD2" s="17"/>
      <c r="AE2" s="17"/>
      <c r="AF2" s="17"/>
      <c r="AG2" s="17"/>
      <c r="AH2" s="17"/>
      <c r="AI2" s="17"/>
      <c r="AJ2" s="17"/>
      <c r="AK2" s="17"/>
      <c r="AL2" s="17"/>
      <c r="AM2" s="17"/>
      <c r="AN2" s="17"/>
      <c r="AO2" s="17"/>
      <c r="AP2" s="17"/>
      <c r="AQ2" s="17"/>
    </row>
    <row r="3" spans="3:56" ht="14.4" customHeight="1" x14ac:dyDescent="0.3">
      <c r="N3" s="16"/>
      <c r="X3" s="17"/>
      <c r="Y3" s="17"/>
      <c r="Z3" s="17"/>
      <c r="AA3" s="17"/>
      <c r="AB3" s="17"/>
      <c r="AC3" s="17"/>
      <c r="AD3" s="17"/>
      <c r="AE3" s="17"/>
      <c r="AF3" s="17"/>
      <c r="AG3" s="17"/>
      <c r="AH3" s="17"/>
      <c r="AI3" s="17"/>
      <c r="AJ3" s="17"/>
      <c r="AK3" s="17"/>
      <c r="AL3" s="17"/>
      <c r="AM3" s="17"/>
      <c r="AN3" s="17"/>
      <c r="AO3" s="17"/>
      <c r="AP3" s="17"/>
      <c r="AQ3" s="17"/>
    </row>
    <row r="4" spans="3:56" ht="14.4" customHeight="1" x14ac:dyDescent="0.3">
      <c r="X4" s="17"/>
      <c r="Y4" s="17"/>
      <c r="Z4" s="17"/>
      <c r="AA4" s="17"/>
      <c r="AB4" s="17"/>
      <c r="AC4" s="17"/>
      <c r="AD4" s="17"/>
      <c r="AE4" s="17"/>
      <c r="AF4" s="17"/>
      <c r="AG4" s="17"/>
      <c r="AH4" s="17"/>
      <c r="AI4" s="17"/>
      <c r="AJ4" s="17"/>
      <c r="AK4" s="17"/>
      <c r="AL4" s="17"/>
      <c r="AM4" s="17"/>
      <c r="AN4" s="17"/>
      <c r="AO4" s="17"/>
      <c r="AP4" s="17"/>
      <c r="AQ4" s="17"/>
    </row>
    <row r="5" spans="3:56" ht="14.4" customHeight="1" x14ac:dyDescent="0.3"/>
    <row r="6" spans="3:56" ht="14.4" customHeight="1" x14ac:dyDescent="0.3"/>
    <row r="7" spans="3:56" ht="63" x14ac:dyDescent="1.2">
      <c r="C7" s="18"/>
      <c r="D7" s="18"/>
      <c r="E7" s="18"/>
      <c r="O7" s="9"/>
    </row>
    <row r="8" spans="3:56" x14ac:dyDescent="0.3">
      <c r="C8" s="18"/>
      <c r="D8" s="18"/>
      <c r="E8" s="18"/>
    </row>
    <row r="12" spans="3:56" x14ac:dyDescent="0.3">
      <c r="BD12" s="10"/>
    </row>
    <row r="18" spans="2:8" ht="63" x14ac:dyDescent="0.7">
      <c r="B18" s="11"/>
      <c r="C18" s="12">
        <f>GETPIVOTDATA("Quantity_In_Stock",'Quantity in stock'!$A$3)</f>
        <v>4992</v>
      </c>
      <c r="D18" s="13">
        <f>GETPIVOTDATA("Car_ID",'Status wise car'!$A$3,"Status","Sold")</f>
        <v>165</v>
      </c>
      <c r="F18" s="13">
        <f>GETPIVOTDATA("Car_ID",'Status wise car'!$A$3,"Status","Available")</f>
        <v>179</v>
      </c>
      <c r="G18" s="13">
        <f>GETPIVOTDATA("Car_ID",'Status wise car'!$A$3,"Status","Reserved")</f>
        <v>157</v>
      </c>
      <c r="H18" s="14">
        <f>GETPIVOTDATA("Brand_Revenue",'Brand wise sold cars'!$A$3)</f>
        <v>293433811.50999999</v>
      </c>
    </row>
    <row r="20" spans="2:8" ht="23.4" x14ac:dyDescent="0.45">
      <c r="D20" s="15">
        <f>GETPIVOTDATA("Car_ID",'Status wise car'!$A$3)</f>
        <v>501</v>
      </c>
    </row>
  </sheetData>
  <mergeCells count="2">
    <mergeCell ref="X2:AQ4"/>
    <mergeCell ref="C7:E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Cars inventory </vt:lpstr>
      <vt:lpstr>Status wise car</vt:lpstr>
      <vt:lpstr>Brand VS Status</vt:lpstr>
      <vt:lpstr>Quantity in stock</vt:lpstr>
      <vt:lpstr>Brand wise sold cars</vt:lpstr>
      <vt:lpstr>Model wise sale</vt:lpstr>
      <vt:lpstr>Year wise sale</vt:lpstr>
      <vt:lpstr>Transmission VS Status Avabile</vt:lpstr>
      <vt:lpstr>Engine type VS Stutus</vt:lpstr>
      <vt:lpstr>Price wise analysis</vt:lpstr>
      <vt:lpstr>Colour in brand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jkhade891@gmail.com</cp:lastModifiedBy>
  <dcterms:created xsi:type="dcterms:W3CDTF">2026-09-05T08:12:52Z</dcterms:created>
  <dcterms:modified xsi:type="dcterms:W3CDTF">2026-10-03T06:51:59Z</dcterms:modified>
</cp:coreProperties>
</file>